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thanshealy\Desktop\Parrott_Lab\medaka_EMseq\"/>
    </mc:Choice>
  </mc:AlternateContent>
  <xr:revisionPtr revIDLastSave="0" documentId="13_ncr:1_{74100FEB-5678-4661-ADFA-71BEFDFE1664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Dissect" sheetId="1" r:id="rId1"/>
    <sheet name="DNA RNA Conc." sheetId="2" r:id="rId2"/>
    <sheet name="Sample size table" sheetId="3" r:id="rId3"/>
    <sheet name="Samples for Sequencing" sheetId="4" r:id="rId4"/>
    <sheet name="Telo_ID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Q65" i="4"/>
  <c r="J65" i="4"/>
  <c r="C65" i="4"/>
  <c r="Q10" i="4"/>
  <c r="J10" i="4"/>
  <c r="C10" i="4"/>
  <c r="Q145" i="2"/>
  <c r="J145" i="2"/>
  <c r="C145" i="2"/>
  <c r="Q144" i="2"/>
  <c r="J144" i="2"/>
  <c r="Q143" i="2"/>
  <c r="J143" i="2"/>
  <c r="C143" i="2"/>
  <c r="Q142" i="2"/>
  <c r="J142" i="2"/>
  <c r="Q141" i="2"/>
  <c r="J141" i="2"/>
  <c r="C141" i="2"/>
  <c r="Q140" i="2"/>
  <c r="J140" i="2"/>
  <c r="C140" i="2"/>
  <c r="Q139" i="2"/>
  <c r="J139" i="2"/>
  <c r="Q138" i="2"/>
  <c r="J138" i="2"/>
  <c r="C138" i="2"/>
  <c r="Q137" i="2"/>
  <c r="J137" i="2"/>
  <c r="Q136" i="2"/>
  <c r="J136" i="2"/>
  <c r="Q135" i="2"/>
  <c r="J135" i="2"/>
  <c r="C135" i="2"/>
  <c r="Q134" i="2"/>
  <c r="J134" i="2"/>
  <c r="C134" i="2"/>
  <c r="Q133" i="2"/>
  <c r="J133" i="2"/>
  <c r="C133" i="2"/>
  <c r="Q132" i="2"/>
  <c r="J132" i="2"/>
  <c r="C132" i="2"/>
  <c r="Q131" i="2"/>
  <c r="J131" i="2"/>
  <c r="C131" i="2"/>
  <c r="Q130" i="2"/>
  <c r="J130" i="2"/>
  <c r="C130" i="2"/>
  <c r="Q129" i="2"/>
  <c r="J129" i="2"/>
  <c r="C129" i="2"/>
  <c r="Q128" i="2"/>
  <c r="J128" i="2"/>
  <c r="C128" i="2"/>
  <c r="Q127" i="2"/>
  <c r="J127" i="2"/>
  <c r="C127" i="2"/>
  <c r="Q126" i="2"/>
  <c r="J126" i="2"/>
  <c r="C126" i="2"/>
  <c r="Q125" i="2"/>
  <c r="J125" i="2"/>
  <c r="C125" i="2"/>
  <c r="Q124" i="2"/>
  <c r="J124" i="2"/>
  <c r="C124" i="2"/>
  <c r="Q123" i="2"/>
  <c r="J123" i="2"/>
  <c r="C123" i="2"/>
  <c r="Q122" i="2"/>
  <c r="J122" i="2"/>
  <c r="C122" i="2"/>
  <c r="Q121" i="2"/>
  <c r="J121" i="2"/>
  <c r="C121" i="2"/>
  <c r="Q120" i="2"/>
  <c r="J120" i="2"/>
  <c r="C120" i="2"/>
  <c r="Q119" i="2"/>
  <c r="J119" i="2"/>
  <c r="C119" i="2"/>
  <c r="Q118" i="2"/>
  <c r="J118" i="2"/>
  <c r="C118" i="2"/>
  <c r="Q117" i="2"/>
  <c r="J117" i="2"/>
  <c r="C117" i="2"/>
  <c r="Q116" i="2"/>
  <c r="J116" i="2"/>
  <c r="C116" i="2"/>
  <c r="Q115" i="2"/>
  <c r="J115" i="2"/>
  <c r="C115" i="2"/>
  <c r="Q114" i="2"/>
  <c r="J114" i="2"/>
  <c r="C114" i="2"/>
  <c r="Q113" i="2"/>
  <c r="J113" i="2"/>
  <c r="C113" i="2"/>
  <c r="Q112" i="2"/>
  <c r="J112" i="2"/>
  <c r="C112" i="2"/>
  <c r="Q111" i="2"/>
  <c r="J111" i="2"/>
  <c r="C111" i="2"/>
  <c r="Q110" i="2"/>
  <c r="J110" i="2"/>
  <c r="C110" i="2"/>
  <c r="Q109" i="2"/>
  <c r="J109" i="2"/>
  <c r="C109" i="2"/>
  <c r="Q108" i="2"/>
  <c r="J108" i="2"/>
  <c r="C108" i="2"/>
  <c r="Q107" i="2"/>
  <c r="J107" i="2"/>
  <c r="C107" i="2"/>
  <c r="Q106" i="2"/>
  <c r="J106" i="2"/>
  <c r="C106" i="2"/>
  <c r="Q105" i="2"/>
  <c r="J105" i="2"/>
  <c r="C105" i="2"/>
  <c r="Q104" i="2"/>
  <c r="J104" i="2"/>
  <c r="C104" i="2"/>
  <c r="Q103" i="2"/>
  <c r="J103" i="2"/>
  <c r="C103" i="2"/>
  <c r="Q102" i="2"/>
  <c r="J102" i="2"/>
  <c r="C102" i="2"/>
  <c r="Q101" i="2"/>
  <c r="J101" i="2"/>
  <c r="C101" i="2"/>
  <c r="Q100" i="2"/>
  <c r="J100" i="2"/>
  <c r="C100" i="2"/>
  <c r="Q99" i="2"/>
  <c r="J99" i="2"/>
  <c r="C99" i="2"/>
  <c r="Q98" i="2"/>
  <c r="J98" i="2"/>
  <c r="C98" i="2"/>
  <c r="Q97" i="2"/>
  <c r="J97" i="2"/>
  <c r="C97" i="2"/>
  <c r="Q96" i="2"/>
  <c r="J96" i="2"/>
  <c r="C96" i="2"/>
  <c r="Q95" i="2"/>
  <c r="J95" i="2"/>
  <c r="C95" i="2"/>
  <c r="Q94" i="2"/>
  <c r="J94" i="2"/>
  <c r="C94" i="2"/>
  <c r="Q93" i="2"/>
  <c r="J93" i="2"/>
  <c r="C93" i="2"/>
  <c r="Q92" i="2"/>
  <c r="J92" i="2"/>
  <c r="C92" i="2"/>
  <c r="Q91" i="2"/>
  <c r="J91" i="2"/>
  <c r="C91" i="2"/>
  <c r="Q90" i="2"/>
  <c r="J90" i="2"/>
  <c r="C90" i="2"/>
  <c r="Q89" i="2"/>
  <c r="J89" i="2"/>
  <c r="C89" i="2"/>
  <c r="Q88" i="2"/>
  <c r="J88" i="2"/>
  <c r="C88" i="2"/>
  <c r="Q87" i="2"/>
  <c r="J87" i="2"/>
  <c r="C87" i="2"/>
  <c r="Q86" i="2"/>
  <c r="J86" i="2"/>
  <c r="C86" i="2"/>
  <c r="Q85" i="2"/>
  <c r="J85" i="2"/>
  <c r="C85" i="2"/>
  <c r="Q84" i="2"/>
  <c r="J84" i="2"/>
  <c r="C84" i="2"/>
  <c r="Q83" i="2"/>
  <c r="J83" i="2"/>
  <c r="C83" i="2"/>
  <c r="Q82" i="2"/>
  <c r="J82" i="2"/>
  <c r="C82" i="2"/>
  <c r="Q81" i="2"/>
  <c r="J81" i="2"/>
  <c r="C81" i="2"/>
  <c r="Q80" i="2"/>
  <c r="J80" i="2"/>
  <c r="C80" i="2"/>
  <c r="Q79" i="2"/>
  <c r="J79" i="2"/>
  <c r="C79" i="2"/>
  <c r="Q78" i="2"/>
  <c r="J78" i="2"/>
  <c r="C78" i="2"/>
  <c r="Q77" i="2"/>
  <c r="J77" i="2"/>
  <c r="C77" i="2"/>
  <c r="Q76" i="2"/>
  <c r="J76" i="2"/>
  <c r="C76" i="2"/>
  <c r="Q75" i="2"/>
  <c r="J75" i="2"/>
  <c r="C75" i="2"/>
  <c r="Q74" i="2"/>
  <c r="J74" i="2"/>
  <c r="C74" i="2"/>
  <c r="Q73" i="2"/>
  <c r="J73" i="2"/>
  <c r="C73" i="2"/>
  <c r="Q72" i="2"/>
  <c r="J72" i="2"/>
  <c r="C72" i="2"/>
  <c r="Q71" i="2"/>
  <c r="J71" i="2"/>
  <c r="C71" i="2"/>
  <c r="Q70" i="2"/>
  <c r="J70" i="2"/>
  <c r="C70" i="2"/>
  <c r="Q69" i="2"/>
  <c r="J69" i="2"/>
  <c r="C69" i="2"/>
  <c r="Q68" i="2"/>
  <c r="J68" i="2"/>
  <c r="C68" i="2"/>
  <c r="Q67" i="2"/>
  <c r="J67" i="2"/>
  <c r="C67" i="2"/>
  <c r="Q66" i="2"/>
  <c r="J66" i="2"/>
  <c r="C66" i="2"/>
  <c r="Q65" i="2"/>
  <c r="J65" i="2"/>
  <c r="C65" i="2"/>
  <c r="Q64" i="2"/>
  <c r="J64" i="2"/>
  <c r="C64" i="2"/>
  <c r="Q63" i="2"/>
  <c r="J63" i="2"/>
  <c r="C63" i="2"/>
  <c r="Q62" i="2"/>
  <c r="J62" i="2"/>
  <c r="C62" i="2"/>
  <c r="Q61" i="2"/>
  <c r="J61" i="2"/>
  <c r="C61" i="2"/>
  <c r="Q60" i="2"/>
  <c r="J60" i="2"/>
  <c r="C60" i="2"/>
  <c r="Q59" i="2"/>
  <c r="J59" i="2"/>
  <c r="C59" i="2"/>
  <c r="Q58" i="2"/>
  <c r="J58" i="2"/>
  <c r="C58" i="2"/>
  <c r="Q57" i="2"/>
  <c r="J57" i="2"/>
  <c r="C57" i="2"/>
  <c r="Q56" i="2"/>
  <c r="J56" i="2"/>
  <c r="C56" i="2"/>
  <c r="Q55" i="2"/>
  <c r="J55" i="2"/>
  <c r="C55" i="2"/>
  <c r="Q54" i="2"/>
  <c r="J54" i="2"/>
  <c r="C54" i="2"/>
  <c r="Q53" i="2"/>
  <c r="J53" i="2"/>
  <c r="C53" i="2"/>
  <c r="Q52" i="2"/>
  <c r="J52" i="2"/>
  <c r="C52" i="2"/>
  <c r="Q51" i="2"/>
  <c r="J51" i="2"/>
  <c r="C51" i="2"/>
  <c r="Q50" i="2"/>
  <c r="J50" i="2"/>
  <c r="C50" i="2"/>
  <c r="Q49" i="2"/>
  <c r="J49" i="2"/>
  <c r="C49" i="2"/>
  <c r="Q48" i="2"/>
  <c r="J48" i="2"/>
  <c r="C48" i="2"/>
  <c r="Q47" i="2"/>
  <c r="J47" i="2"/>
  <c r="C47" i="2"/>
  <c r="Q46" i="2"/>
  <c r="J46" i="2"/>
  <c r="C46" i="2"/>
  <c r="Q45" i="2"/>
  <c r="J45" i="2"/>
  <c r="C45" i="2"/>
  <c r="Q44" i="2"/>
  <c r="J44" i="2"/>
  <c r="C44" i="2"/>
  <c r="Q43" i="2"/>
  <c r="J43" i="2"/>
  <c r="C43" i="2"/>
  <c r="Q42" i="2"/>
  <c r="J42" i="2"/>
  <c r="C42" i="2"/>
  <c r="Q41" i="2"/>
  <c r="J41" i="2"/>
  <c r="C41" i="2"/>
  <c r="Q40" i="2"/>
  <c r="J40" i="2"/>
  <c r="C40" i="2"/>
  <c r="Q39" i="2"/>
  <c r="J39" i="2"/>
  <c r="C39" i="2"/>
  <c r="Q38" i="2"/>
  <c r="J38" i="2"/>
  <c r="C38" i="2"/>
  <c r="Q37" i="2"/>
  <c r="J37" i="2"/>
  <c r="C37" i="2"/>
  <c r="Q36" i="2"/>
  <c r="J36" i="2"/>
  <c r="C36" i="2"/>
  <c r="Q35" i="2"/>
  <c r="J35" i="2"/>
  <c r="C35" i="2"/>
  <c r="Q34" i="2"/>
  <c r="J34" i="2"/>
  <c r="C34" i="2"/>
  <c r="Q33" i="2"/>
  <c r="J33" i="2"/>
  <c r="C33" i="2"/>
  <c r="Q32" i="2"/>
  <c r="J32" i="2"/>
  <c r="C32" i="2"/>
  <c r="Q31" i="2"/>
  <c r="J31" i="2"/>
  <c r="C31" i="2"/>
  <c r="Q30" i="2"/>
  <c r="J30" i="2"/>
  <c r="C30" i="2"/>
  <c r="Q29" i="2"/>
  <c r="J29" i="2"/>
  <c r="C29" i="2"/>
  <c r="Q28" i="2"/>
  <c r="J28" i="2"/>
  <c r="C28" i="2"/>
  <c r="Q27" i="2"/>
  <c r="J27" i="2"/>
  <c r="C27" i="2"/>
  <c r="Q26" i="2"/>
  <c r="J26" i="2"/>
  <c r="C26" i="2"/>
  <c r="Q25" i="2"/>
  <c r="J25" i="2"/>
  <c r="C25" i="2"/>
  <c r="Q24" i="2"/>
  <c r="J24" i="2"/>
  <c r="C24" i="2"/>
  <c r="Q23" i="2"/>
  <c r="J23" i="2"/>
  <c r="C23" i="2"/>
  <c r="Q22" i="2"/>
  <c r="J22" i="2"/>
  <c r="C22" i="2"/>
  <c r="Q21" i="2"/>
  <c r="J21" i="2"/>
  <c r="C21" i="2"/>
  <c r="Q20" i="2"/>
  <c r="J20" i="2"/>
  <c r="C20" i="2"/>
  <c r="Q19" i="2"/>
  <c r="J19" i="2"/>
  <c r="C19" i="2"/>
  <c r="Q18" i="2"/>
  <c r="J18" i="2"/>
  <c r="Q17" i="2"/>
  <c r="J17" i="2"/>
  <c r="C17" i="2"/>
  <c r="Q16" i="2"/>
  <c r="J16" i="2"/>
  <c r="C16" i="2"/>
  <c r="Q15" i="2"/>
  <c r="J15" i="2"/>
  <c r="C15" i="2"/>
  <c r="Q14" i="2"/>
  <c r="J14" i="2"/>
  <c r="C14" i="2"/>
  <c r="Q13" i="2"/>
  <c r="J13" i="2"/>
  <c r="C13" i="2"/>
  <c r="Q12" i="2"/>
  <c r="J12" i="2"/>
  <c r="C12" i="2"/>
  <c r="Q11" i="2"/>
  <c r="J11" i="2"/>
  <c r="C11" i="2"/>
  <c r="Q10" i="2"/>
  <c r="J10" i="2"/>
  <c r="C10" i="2"/>
  <c r="Q9" i="2"/>
  <c r="J9" i="2"/>
  <c r="C9" i="2"/>
  <c r="Q8" i="2"/>
  <c r="J8" i="2"/>
  <c r="C8" i="2"/>
  <c r="Q7" i="2"/>
  <c r="J7" i="2"/>
  <c r="C7" i="2"/>
  <c r="Q6" i="2"/>
  <c r="J6" i="2"/>
  <c r="C6" i="2"/>
  <c r="Q5" i="2"/>
  <c r="J5" i="2"/>
  <c r="C5" i="2"/>
  <c r="Q4" i="2"/>
  <c r="J4" i="2"/>
  <c r="C4" i="2"/>
  <c r="Q3" i="2"/>
  <c r="J3" i="2"/>
  <c r="C3" i="2"/>
  <c r="Q2" i="2"/>
  <c r="J2" i="2"/>
  <c r="C2" i="2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J123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J110" i="1"/>
  <c r="I110" i="1"/>
  <c r="I109" i="1"/>
  <c r="I108" i="1"/>
  <c r="I107" i="1"/>
  <c r="I106" i="1"/>
  <c r="I105" i="1"/>
  <c r="J104" i="1"/>
  <c r="I104" i="1"/>
  <c r="J103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J87" i="1"/>
  <c r="I87" i="1"/>
  <c r="I86" i="1"/>
  <c r="I85" i="1"/>
  <c r="I84" i="1"/>
  <c r="I83" i="1"/>
  <c r="I82" i="1"/>
  <c r="I81" i="1"/>
  <c r="I80" i="1"/>
  <c r="J79" i="1"/>
  <c r="I79" i="1"/>
  <c r="I78" i="1"/>
  <c r="I77" i="1"/>
  <c r="I76" i="1"/>
  <c r="I75" i="1"/>
  <c r="J74" i="1"/>
  <c r="I74" i="1"/>
  <c r="I73" i="1"/>
  <c r="I72" i="1"/>
  <c r="I71" i="1"/>
  <c r="J70" i="1"/>
  <c r="I70" i="1"/>
  <c r="I69" i="1"/>
  <c r="J68" i="1"/>
  <c r="I68" i="1"/>
  <c r="I67" i="1"/>
  <c r="I66" i="1"/>
  <c r="I65" i="1"/>
  <c r="I64" i="1"/>
  <c r="J63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9" i="1"/>
  <c r="G9" i="1" s="1"/>
  <c r="I9" i="1" s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<sst xmlns="http://schemas.openxmlformats.org/spreadsheetml/2006/main" count="1530" uniqueCount="177">
  <si>
    <t>ID</t>
  </si>
  <si>
    <t>Cohort</t>
  </si>
  <si>
    <t>Hatch</t>
  </si>
  <si>
    <t>Age</t>
  </si>
  <si>
    <t>Fin_sex</t>
  </si>
  <si>
    <t>Gonad_sex</t>
  </si>
  <si>
    <t>Tot_wgt</t>
  </si>
  <si>
    <t>Gonad_wgt</t>
  </si>
  <si>
    <t>GSI</t>
  </si>
  <si>
    <t>Egg_wgt</t>
  </si>
  <si>
    <t>Gonad_score</t>
  </si>
  <si>
    <t>Std_length</t>
  </si>
  <si>
    <t>Tot_length</t>
  </si>
  <si>
    <t>Fin_branch</t>
  </si>
  <si>
    <t>Dissect_date</t>
  </si>
  <si>
    <t>Dissect_time</t>
  </si>
  <si>
    <t>Notes</t>
  </si>
  <si>
    <t>Oct '19</t>
  </si>
  <si>
    <t>10/13-15/2019</t>
  </si>
  <si>
    <t>M</t>
  </si>
  <si>
    <t>Did not record branching; Double assumed</t>
  </si>
  <si>
    <t>Nov '19</t>
  </si>
  <si>
    <t>11/12-20/2019</t>
  </si>
  <si>
    <t>gonad scores:</t>
  </si>
  <si>
    <t>Male</t>
  </si>
  <si>
    <t>Female</t>
  </si>
  <si>
    <t>Dec '19</t>
  </si>
  <si>
    <t>12/16-20/2019</t>
  </si>
  <si>
    <t>0 - not present</t>
  </si>
  <si>
    <t>Feb '20</t>
  </si>
  <si>
    <t>2/18-19/2020</t>
  </si>
  <si>
    <t>F</t>
  </si>
  <si>
    <t>1 - too small to collect</t>
  </si>
  <si>
    <t xml:space="preserve">1 - small, no large follicles (OR has very old follicles that are collaposed) </t>
  </si>
  <si>
    <t>Apr '20</t>
  </si>
  <si>
    <t>4/17-24/2020</t>
  </si>
  <si>
    <t>2 - small but collectable</t>
  </si>
  <si>
    <t>2 - normal, some large follicles</t>
  </si>
  <si>
    <t>Jun '20</t>
  </si>
  <si>
    <t>6/17-25/2020</t>
  </si>
  <si>
    <t>3 - normal</t>
  </si>
  <si>
    <t>3 - large, many large follicles</t>
  </si>
  <si>
    <t>4 - large</t>
  </si>
  <si>
    <t>Did not record branching; Double Assumed; has 8 eggs</t>
  </si>
  <si>
    <t>Did not record branching; Double assumed; a lot of adipose; gonad regressed; liver large and pale</t>
  </si>
  <si>
    <t>Ovary ruptured; Did not record branching; Double assumed</t>
  </si>
  <si>
    <t>Large gallbladder with white crystals</t>
  </si>
  <si>
    <t>Anal fin damaged; slight wavy spine</t>
  </si>
  <si>
    <t>Papillae on anal fin, notch in dorsal fin; small follicle in gonad</t>
  </si>
  <si>
    <t>Slight hunchback; eyes slightly protruding</t>
  </si>
  <si>
    <t>Enlarged gallbladder; highly pigmented</t>
  </si>
  <si>
    <t>Slight wavy spine</t>
  </si>
  <si>
    <t>Aug '20</t>
  </si>
  <si>
    <t>8/14-18/2020</t>
  </si>
  <si>
    <t xml:space="preserve">Slight hunchback </t>
  </si>
  <si>
    <t>Oct '20</t>
  </si>
  <si>
    <t>10/17-20/2020</t>
  </si>
  <si>
    <t>Hunchback</t>
  </si>
  <si>
    <t>Wavy spine</t>
  </si>
  <si>
    <t>Many follicles, none mature; Green follicles</t>
  </si>
  <si>
    <t>Gonads tore</t>
  </si>
  <si>
    <t>Nov '20</t>
  </si>
  <si>
    <t>11/13-19/2020</t>
  </si>
  <si>
    <t>Dec '20</t>
  </si>
  <si>
    <t>12/17-21/2020</t>
  </si>
  <si>
    <t>Egg bound</t>
  </si>
  <si>
    <t>Jan '21</t>
  </si>
  <si>
    <t>1/22-26/2021</t>
  </si>
  <si>
    <t>Gonad damaged; weight estimated from other 14mo males</t>
  </si>
  <si>
    <t xml:space="preserve"> </t>
  </si>
  <si>
    <t>Granular gonad</t>
  </si>
  <si>
    <t>Gonad has one follicle</t>
  </si>
  <si>
    <t>Mar '21</t>
  </si>
  <si>
    <t>3/20-25/2021</t>
  </si>
  <si>
    <t>May '21</t>
  </si>
  <si>
    <t>5/20-25/2021</t>
  </si>
  <si>
    <t>Jun '21</t>
  </si>
  <si>
    <t>Had 8 eggs; caudal fin damaged</t>
  </si>
  <si>
    <t>Many follicles; none mature</t>
  </si>
  <si>
    <t>Had 9 eggs; caudal fin damaged</t>
  </si>
  <si>
    <t>Greatly enlarged gallbladder</t>
  </si>
  <si>
    <t>Had 12 eggs</t>
  </si>
  <si>
    <t>A lot of adipose</t>
  </si>
  <si>
    <t>Had 5 eggs</t>
  </si>
  <si>
    <t>Jul '21</t>
  </si>
  <si>
    <t>7/14-16/2021</t>
  </si>
  <si>
    <t>Aug '21</t>
  </si>
  <si>
    <t>Wavy spine; has 2 eggs</t>
  </si>
  <si>
    <t xml:space="preserve">Aug '21 </t>
  </si>
  <si>
    <t>Sept '21</t>
  </si>
  <si>
    <t>Brain tore in half</t>
  </si>
  <si>
    <t>Im</t>
  </si>
  <si>
    <t>Has 1 egg</t>
  </si>
  <si>
    <t>Fin dried out</t>
  </si>
  <si>
    <t>Oct '21</t>
  </si>
  <si>
    <t>10/17-18/2021</t>
  </si>
  <si>
    <t>10/18-21/2021</t>
  </si>
  <si>
    <t>2 eggs</t>
  </si>
  <si>
    <t>5 eggs</t>
  </si>
  <si>
    <t>very fatty</t>
  </si>
  <si>
    <t>Nov '21</t>
  </si>
  <si>
    <t>11/21-22/2021</t>
  </si>
  <si>
    <t>wavy spine; fatty</t>
  </si>
  <si>
    <t>fatty</t>
  </si>
  <si>
    <t>11/22-29/2021</t>
  </si>
  <si>
    <t>Fatty</t>
  </si>
  <si>
    <t>6 eggs</t>
  </si>
  <si>
    <t>Dec '21</t>
  </si>
  <si>
    <t>Fatty; anal fin damaged</t>
  </si>
  <si>
    <t>12/15-16/2021</t>
  </si>
  <si>
    <t>Jan '22</t>
  </si>
  <si>
    <t>High adiposity</t>
  </si>
  <si>
    <t>Fatty, no discernable gonad</t>
  </si>
  <si>
    <t>High adiposity; no discernable gonad</t>
  </si>
  <si>
    <t>No discernable gonad; high adiposity</t>
  </si>
  <si>
    <t>Age (months)</t>
  </si>
  <si>
    <t>Sex</t>
  </si>
  <si>
    <t>DNA Suspended in:</t>
  </si>
  <si>
    <t>DNA Extraction Date</t>
  </si>
  <si>
    <t>DNA Conc (ng/ul)</t>
  </si>
  <si>
    <t>DNA/280</t>
  </si>
  <si>
    <t>DNA/230</t>
  </si>
  <si>
    <t>Volume(ul)</t>
  </si>
  <si>
    <t>Total DNA (ng)</t>
  </si>
  <si>
    <t>RNA Extraction Date</t>
  </si>
  <si>
    <t>RNA Suspended in:</t>
  </si>
  <si>
    <t>RNA Conc (ng/ul)</t>
  </si>
  <si>
    <t>RNA/280</t>
  </si>
  <si>
    <t>RNA/230</t>
  </si>
  <si>
    <t>Total RNA (ng)</t>
  </si>
  <si>
    <t>TE</t>
  </si>
  <si>
    <t>FAMQ</t>
  </si>
  <si>
    <t>Immature</t>
  </si>
  <si>
    <t>Count of ID</t>
  </si>
  <si>
    <t>Total Result</t>
  </si>
  <si>
    <t>Precip Both</t>
  </si>
  <si>
    <t>Just DNA</t>
  </si>
  <si>
    <t>Fish_ID</t>
  </si>
  <si>
    <t>Rand_ID</t>
  </si>
  <si>
    <t>Plate</t>
  </si>
  <si>
    <t>Sample</t>
  </si>
  <si>
    <t>Unkn-10</t>
  </si>
  <si>
    <t>Unkn-11</t>
  </si>
  <si>
    <t>Unkn-12</t>
  </si>
  <si>
    <t>Unkn-13</t>
  </si>
  <si>
    <t>Unkn-14</t>
  </si>
  <si>
    <t>Unkn-15</t>
  </si>
  <si>
    <t>Unkn-16</t>
  </si>
  <si>
    <t>Unkn-17</t>
  </si>
  <si>
    <t>Unkn-18</t>
  </si>
  <si>
    <t>Unkn-19</t>
  </si>
  <si>
    <t>Unkn-20</t>
  </si>
  <si>
    <t>Unkn-21</t>
  </si>
  <si>
    <t>Final_ID</t>
  </si>
  <si>
    <t>P1</t>
  </si>
  <si>
    <t>P2</t>
  </si>
  <si>
    <t>P3</t>
  </si>
  <si>
    <t>P4</t>
  </si>
  <si>
    <t>P5</t>
  </si>
  <si>
    <t>P6</t>
  </si>
  <si>
    <t>Unkn-01</t>
  </si>
  <si>
    <t>Unkn-02</t>
  </si>
  <si>
    <t>Unkn-03</t>
  </si>
  <si>
    <t>Unkn-04</t>
  </si>
  <si>
    <t>Unkn-05</t>
  </si>
  <si>
    <t>Unkn-06</t>
  </si>
  <si>
    <t>Unkn-07</t>
  </si>
  <si>
    <t>Unkn-08</t>
  </si>
  <si>
    <t>Unkn-09</t>
  </si>
  <si>
    <t>DNA Volume(ul)</t>
  </si>
  <si>
    <t>RNA Volume(ul)</t>
  </si>
  <si>
    <t>6/15/2021</t>
  </si>
  <si>
    <t>8/17/2021</t>
  </si>
  <si>
    <t>9/14/2021</t>
  </si>
  <si>
    <t>12/15/2021</t>
  </si>
  <si>
    <t>1/24/2022</t>
  </si>
  <si>
    <t>1/25/2022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</si>
</sst>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3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8">
    <xf numFmtId="0" fontId="0" fillId="0" borderId="0"/>
    <xf numFmtId="0" fontId="1" fillId="0" borderId="0"/>
    <xf numFmtId="0" fontId="4" fillId="0" borderId="0" applyBorder="0" applyProtection="0">
      <alignment horizontal="left"/>
    </xf>
    <xf numFmtId="0" fontId="4" fillId="0" borderId="0" applyBorder="0" applyProtection="0"/>
    <xf numFmtId="0" fontId="4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4" fillId="0" borderId="0" applyBorder="0" applyProtection="0"/>
  </cellStyleXfs>
  <cellXfs count="52">
    <xf numFmtId="0" fontId="0" fillId="0" borderId="0" xfId="0"/>
    <xf numFmtId="16" fontId="0" fillId="0" borderId="0" xfId="0" applyNumberFormat="1"/>
    <xf numFmtId="14" fontId="0" fillId="0" borderId="0" xfId="0" applyNumberFormat="1"/>
    <xf numFmtId="20" fontId="0" fillId="0" borderId="0" xfId="0" applyNumberFormat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0" fontId="1" fillId="0" borderId="4" xfId="1" applyBorder="1"/>
    <xf numFmtId="0" fontId="1" fillId="0" borderId="0" xfId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0" fillId="2" borderId="0" xfId="0" applyFill="1"/>
    <xf numFmtId="14" fontId="0" fillId="2" borderId="0" xfId="0" applyNumberFormat="1" applyFill="1"/>
    <xf numFmtId="0" fontId="2" fillId="0" borderId="0" xfId="0" applyFont="1"/>
    <xf numFmtId="164" fontId="0" fillId="0" borderId="0" xfId="0" applyNumberFormat="1"/>
    <xf numFmtId="0" fontId="4" fillId="0" borderId="9" xfId="3" applyBorder="1"/>
    <xf numFmtId="0" fontId="4" fillId="0" borderId="10" xfId="4" applyBorder="1"/>
    <xf numFmtId="0" fontId="4" fillId="0" borderId="11" xfId="3" applyBorder="1"/>
    <xf numFmtId="0" fontId="4" fillId="0" borderId="12" xfId="3" applyBorder="1"/>
    <xf numFmtId="0" fontId="4" fillId="0" borderId="13" xfId="4" applyBorder="1"/>
    <xf numFmtId="0" fontId="4" fillId="0" borderId="14" xfId="2" applyBorder="1">
      <alignment horizontal="left"/>
    </xf>
    <xf numFmtId="0" fontId="4" fillId="0" borderId="15" xfId="2" applyBorder="1">
      <alignment horizontal="left"/>
    </xf>
    <xf numFmtId="0" fontId="2" fillId="0" borderId="16" xfId="6" applyBorder="1">
      <alignment horizontal="left"/>
    </xf>
    <xf numFmtId="0" fontId="4" fillId="0" borderId="17" xfId="2" applyBorder="1">
      <alignment horizontal="left"/>
    </xf>
    <xf numFmtId="0" fontId="4" fillId="0" borderId="18" xfId="7" applyBorder="1"/>
    <xf numFmtId="0" fontId="4" fillId="0" borderId="19" xfId="7" applyBorder="1"/>
    <xf numFmtId="0" fontId="2" fillId="0" borderId="20" xfId="5" applyBorder="1"/>
    <xf numFmtId="0" fontId="4" fillId="0" borderId="21" xfId="2" applyBorder="1">
      <alignment horizontal="left"/>
    </xf>
    <xf numFmtId="0" fontId="4" fillId="0" borderId="22" xfId="7" applyBorder="1"/>
    <xf numFmtId="0" fontId="4" fillId="0" borderId="23" xfId="7" applyBorder="1"/>
    <xf numFmtId="0" fontId="2" fillId="0" borderId="24" xfId="5" applyBorder="1"/>
    <xf numFmtId="0" fontId="4" fillId="0" borderId="14" xfId="7" applyBorder="1"/>
    <xf numFmtId="0" fontId="4" fillId="0" borderId="25" xfId="7" applyBorder="1"/>
    <xf numFmtId="0" fontId="2" fillId="0" borderId="26" xfId="5" applyBorder="1"/>
    <xf numFmtId="0" fontId="2" fillId="0" borderId="27" xfId="6" applyBorder="1">
      <alignment horizontal="left"/>
    </xf>
    <xf numFmtId="0" fontId="2" fillId="0" borderId="28" xfId="5" applyBorder="1"/>
    <xf numFmtId="0" fontId="2" fillId="0" borderId="29" xfId="5" applyBorder="1"/>
    <xf numFmtId="0" fontId="2" fillId="0" borderId="30" xfId="5" applyBorder="1"/>
    <xf numFmtId="0" fontId="2" fillId="0" borderId="31" xfId="0" applyFont="1" applyBorder="1"/>
    <xf numFmtId="164" fontId="0" fillId="2" borderId="0" xfId="0" applyNumberFormat="1" applyFill="1"/>
    <xf numFmtId="0" fontId="0" fillId="3" borderId="0" xfId="0" applyFill="1"/>
    <xf numFmtId="0" fontId="0" fillId="4" borderId="0" xfId="0" applyFill="1"/>
    <xf numFmtId="1" fontId="0" fillId="2" borderId="0" xfId="0" applyNumberFormat="1" applyFill="1"/>
    <xf numFmtId="14" fontId="0" fillId="3" borderId="0" xfId="0" applyNumberFormat="1" applyFill="1"/>
    <xf numFmtId="164" fontId="0" fillId="3" borderId="0" xfId="0" applyNumberFormat="1" applyFill="1"/>
    <xf numFmtId="49" fontId="0" fillId="0" borderId="0" xfId="0" applyNumberFormat="1"/>
    <xf numFmtId="49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</cellXfs>
  <cellStyles count="8">
    <cellStyle name="Normal" xfId="0" builtinId="0"/>
    <cellStyle name="Normal 2" xfId="1" xr:uid="{00000000-0005-0000-0000-000006000000}"/>
    <cellStyle name="Pivot Table Category" xfId="2" xr:uid="{00000000-0005-0000-0000-000007000000}"/>
    <cellStyle name="Pivot Table Corner" xfId="3" xr:uid="{00000000-0005-0000-0000-000008000000}"/>
    <cellStyle name="Pivot Table Field" xfId="4" xr:uid="{00000000-0005-0000-0000-000009000000}"/>
    <cellStyle name="Pivot Table Result" xfId="5" xr:uid="{00000000-0005-0000-0000-00000A000000}"/>
    <cellStyle name="Pivot Table Title" xfId="6" xr:uid="{00000000-0005-0000-0000-00000B000000}"/>
    <cellStyle name="Pivot Table Value" xfId="7" xr:uid="{00000000-0005-0000-0000-00000C000000}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6" xr:uid="{00000000-000A-0000-FFFF-FFFF01000000}">
  <cacheSource type="worksheet">
    <worksheetSource ref="A1:Q97" sheet="Samples for Sequencing"/>
  </cacheSource>
  <cacheFields count="17">
    <cacheField name="ID" numFmtId="0">
      <sharedItems containsSemiMixedTypes="0" containsString="0" containsNumber="1" containsInteger="1" minValue="1" maxValue="140" count="96">
        <n v="1"/>
        <n v="2"/>
        <n v="3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2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6"/>
        <n v="47"/>
        <n v="49"/>
        <n v="50"/>
        <n v="51"/>
        <n v="52"/>
        <n v="53"/>
        <n v="54"/>
        <n v="56"/>
        <n v="59"/>
        <n v="60"/>
        <n v="61"/>
        <n v="65"/>
        <n v="68"/>
        <n v="70"/>
        <n v="71"/>
        <n v="72"/>
        <n v="73"/>
        <n v="74"/>
        <n v="75"/>
        <n v="76"/>
        <n v="77"/>
        <n v="78"/>
        <n v="81"/>
        <n v="82"/>
        <n v="83"/>
        <n v="85"/>
        <n v="87"/>
        <n v="88"/>
        <n v="90"/>
        <n v="91"/>
        <n v="94"/>
        <n v="95"/>
        <n v="98"/>
        <n v="99"/>
        <n v="100"/>
        <n v="101"/>
        <n v="102"/>
        <n v="103"/>
        <n v="108"/>
        <n v="110"/>
        <n v="111"/>
        <n v="114"/>
        <n v="115"/>
        <n v="117"/>
        <n v="119"/>
        <n v="120"/>
        <n v="123"/>
        <n v="125"/>
        <n v="130"/>
        <n v="132"/>
        <n v="133"/>
        <n v="134"/>
        <n v="135"/>
        <n v="137"/>
        <n v="140"/>
      </sharedItems>
    </cacheField>
    <cacheField name="Age (months)" numFmtId="0">
      <sharedItems containsSemiMixedTypes="0" containsString="0" containsNumber="1" containsInteger="1" minValue="2" maxValue="29" count="20">
        <n v="2"/>
        <n v="3"/>
        <n v="4"/>
        <n v="5"/>
        <n v="6"/>
        <n v="7"/>
        <n v="8"/>
        <n v="9"/>
        <n v="10"/>
        <n v="14"/>
        <n v="15"/>
        <n v="16"/>
        <n v="17"/>
        <n v="19"/>
        <n v="21"/>
        <n v="23"/>
        <n v="25"/>
        <n v="27"/>
        <n v="28"/>
        <n v="29"/>
      </sharedItems>
    </cacheField>
    <cacheField name="Sex" numFmtId="0">
      <sharedItems count="2">
        <s v="F"/>
        <s v="M"/>
      </sharedItems>
    </cacheField>
    <cacheField name="DNA Suspended in:" numFmtId="0">
      <sharedItems count="2">
        <s v="FAMQ"/>
        <s v="TE"/>
      </sharedItems>
    </cacheField>
    <cacheField name="DNA Extraction Date" numFmtId="0">
      <sharedItems containsSemiMixedTypes="0" containsNonDate="0" containsDate="1" containsString="0" minDate="2022-11-16T00:00:00" maxDate="2022-12-19T00:00:00" count="3">
        <d v="2022-11-16T00:00:00"/>
        <d v="2022-12-07T00:00:00"/>
        <d v="2022-12-19T00:00:00"/>
      </sharedItems>
    </cacheField>
    <cacheField name="DNA Conc (ng/ul)" numFmtId="0">
      <sharedItems containsSemiMixedTypes="0" containsString="0" containsNumber="1" minValue="20" maxValue="516" count="73">
        <n v="20"/>
        <n v="22"/>
        <n v="27"/>
        <n v="35"/>
        <n v="38"/>
        <n v="41"/>
        <n v="43"/>
        <n v="45"/>
        <n v="46"/>
        <n v="47"/>
        <n v="49"/>
        <n v="50"/>
        <n v="51"/>
        <n v="54"/>
        <n v="56"/>
        <n v="57"/>
        <n v="59"/>
        <n v="60"/>
        <n v="63"/>
        <n v="64"/>
        <n v="66"/>
        <n v="67"/>
        <n v="70"/>
        <n v="73"/>
        <n v="78"/>
        <n v="80"/>
        <n v="84.9"/>
        <n v="86"/>
        <n v="87"/>
        <n v="89"/>
        <n v="90"/>
        <n v="93"/>
        <n v="94"/>
        <n v="95"/>
        <n v="97"/>
        <n v="99"/>
        <n v="100"/>
        <n v="104"/>
        <n v="106"/>
        <n v="109"/>
        <n v="111"/>
        <n v="112"/>
        <n v="113"/>
        <n v="114"/>
        <n v="117"/>
        <n v="123"/>
        <n v="126"/>
        <n v="127"/>
        <n v="128"/>
        <n v="129"/>
        <n v="132"/>
        <n v="135"/>
        <n v="140"/>
        <n v="143"/>
        <n v="145"/>
        <n v="149"/>
        <n v="150"/>
        <n v="151"/>
        <n v="160"/>
        <n v="162"/>
        <n v="178"/>
        <n v="181"/>
        <n v="193"/>
        <n v="194"/>
        <n v="201"/>
        <n v="208"/>
        <n v="216"/>
        <n v="261"/>
        <n v="266"/>
        <n v="280"/>
        <n v="306"/>
        <n v="324"/>
        <n v="516"/>
      </sharedItems>
    </cacheField>
    <cacheField name="DNA/280" numFmtId="0">
      <sharedItems containsSemiMixedTypes="0" containsString="0" containsNumber="1" minValue="1.8" maxValue="20" count="6">
        <n v="1.8"/>
        <n v="1.9"/>
        <n v="2"/>
        <n v="2.1"/>
        <n v="7.9"/>
        <n v="20"/>
      </sharedItems>
    </cacheField>
    <cacheField name="DNA/230" numFmtId="0">
      <sharedItems containsSemiMixedTypes="0" containsString="0" containsNumber="1" minValue="-24" maxValue="6" count="42">
        <n v="-24"/>
        <n v="0.1"/>
        <n v="0.2"/>
        <n v="0.3"/>
        <n v="0.4"/>
        <n v="0.5"/>
        <n v="0.7"/>
        <n v="0.75"/>
        <n v="0.8"/>
        <n v="0.9"/>
        <n v="1"/>
        <n v="1.2"/>
        <n v="1.3"/>
        <n v="1.4"/>
        <n v="1.5"/>
        <n v="1.7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9"/>
        <n v="4"/>
        <n v="4.0999999999999996"/>
        <n v="4.3"/>
        <n v="4.5"/>
        <n v="4.5999999999999996"/>
        <n v="6"/>
      </sharedItems>
    </cacheField>
    <cacheField name="Volume(ul)" numFmtId="0">
      <sharedItems containsSemiMixedTypes="0" containsString="0" containsNumber="1" minValue="48.5" maxValue="48.5" count="1">
        <n v="48.5"/>
      </sharedItems>
    </cacheField>
    <cacheField name="Total DNA (ng)" numFmtId="0">
      <sharedItems containsSemiMixedTypes="0" containsString="0" containsNumber="1" minValue="970" maxValue="25026" count="73">
        <n v="970"/>
        <n v="1067"/>
        <n v="1309.5"/>
        <n v="1697.5"/>
        <n v="1843"/>
        <n v="1988.5"/>
        <n v="2085.5"/>
        <n v="2182.5"/>
        <n v="2231"/>
        <n v="2279.5"/>
        <n v="2376.5"/>
        <n v="2425"/>
        <n v="2473.5"/>
        <n v="2619"/>
        <n v="2716"/>
        <n v="2764.5"/>
        <n v="2861.5"/>
        <n v="2910"/>
        <n v="3055.5"/>
        <n v="3104"/>
        <n v="3201"/>
        <n v="3249.5"/>
        <n v="3395"/>
        <n v="3540.5"/>
        <n v="3783"/>
        <n v="3880"/>
        <n v="4117.6499999999996"/>
        <n v="4171"/>
        <n v="4219.5"/>
        <n v="4316.5"/>
        <n v="4365"/>
        <n v="4510.5"/>
        <n v="4559"/>
        <n v="4607.5"/>
        <n v="4704.5"/>
        <n v="4801.5"/>
        <n v="4850"/>
        <n v="5044"/>
        <n v="5141"/>
        <n v="5286.5"/>
        <n v="5383.5"/>
        <n v="5432"/>
        <n v="5480.5"/>
        <n v="5529"/>
        <n v="5674.5"/>
        <n v="5965.5"/>
        <n v="6111"/>
        <n v="6159.5"/>
        <n v="6208"/>
        <n v="6256.5"/>
        <n v="6402"/>
        <n v="6547.5"/>
        <n v="6790"/>
        <n v="6935.5"/>
        <n v="7032.5"/>
        <n v="7226.5"/>
        <n v="7275"/>
        <n v="7323.5"/>
        <n v="7760"/>
        <n v="7857"/>
        <n v="8633"/>
        <n v="8778.5"/>
        <n v="9360.5"/>
        <n v="9409"/>
        <n v="9748.5"/>
        <n v="10088"/>
        <n v="10476"/>
        <n v="12658.5"/>
        <n v="12901"/>
        <n v="13580"/>
        <n v="14841"/>
        <n v="15714"/>
        <n v="25026"/>
      </sharedItems>
    </cacheField>
    <cacheField name="RNA Extraction Date" numFmtId="0">
      <sharedItems containsSemiMixedTypes="0" containsNonDate="0" containsDate="1" containsString="0" minDate="2022-11-30T00:00:00" maxDate="2022-12-21T00:00:00" count="5">
        <d v="2022-11-30T00:00:00"/>
        <d v="2022-12-01T00:00:00"/>
        <d v="2022-12-13T00:00:00"/>
        <d v="2022-12-15T00:00:00"/>
        <d v="2022-12-21T00:00:00"/>
      </sharedItems>
    </cacheField>
    <cacheField name="RNA Suspended in:" numFmtId="0">
      <sharedItems count="1">
        <s v="FAMQ"/>
      </sharedItems>
    </cacheField>
    <cacheField name="RNA Conc (ng/ul)" numFmtId="0">
      <sharedItems containsSemiMixedTypes="0" containsString="0" containsNumber="1" containsInteger="1" minValue="0" maxValue="1123" count="87">
        <n v="0"/>
        <n v="31"/>
        <n v="51"/>
        <n v="81"/>
        <n v="83"/>
        <n v="86"/>
        <n v="98"/>
        <n v="100"/>
        <n v="105"/>
        <n v="107"/>
        <n v="110"/>
        <n v="112"/>
        <n v="117"/>
        <n v="122"/>
        <n v="127"/>
        <n v="138"/>
        <n v="140"/>
        <n v="141"/>
        <n v="149"/>
        <n v="153"/>
        <n v="163"/>
        <n v="166"/>
        <n v="177"/>
        <n v="179"/>
        <n v="180"/>
        <n v="182"/>
        <n v="186"/>
        <n v="190"/>
        <n v="195"/>
        <n v="204"/>
        <n v="206"/>
        <n v="211"/>
        <n v="215"/>
        <n v="216"/>
        <n v="225"/>
        <n v="226"/>
        <n v="237"/>
        <n v="240"/>
        <n v="243"/>
        <n v="247"/>
        <n v="254"/>
        <n v="280"/>
        <n v="287"/>
        <n v="291"/>
        <n v="297"/>
        <n v="301"/>
        <n v="303"/>
        <n v="314"/>
        <n v="319"/>
        <n v="329"/>
        <n v="333"/>
        <n v="342"/>
        <n v="352"/>
        <n v="355"/>
        <n v="362"/>
        <n v="363"/>
        <n v="373"/>
        <n v="390"/>
        <n v="406"/>
        <n v="458"/>
        <n v="467"/>
        <n v="473"/>
        <n v="480"/>
        <n v="488"/>
        <n v="496"/>
        <n v="499"/>
        <n v="521"/>
        <n v="524"/>
        <n v="528"/>
        <n v="531"/>
        <n v="541"/>
        <n v="581"/>
        <n v="585"/>
        <n v="592"/>
        <n v="594"/>
        <n v="604"/>
        <n v="617"/>
        <n v="624"/>
        <n v="634"/>
        <n v="643"/>
        <n v="713"/>
        <n v="716"/>
        <n v="923"/>
        <n v="965"/>
        <n v="969"/>
        <n v="1023"/>
        <n v="1123"/>
      </sharedItems>
    </cacheField>
    <cacheField name="RNA/280" numFmtId="0">
      <sharedItems containsSemiMixedTypes="0" containsString="0" containsNumber="1" minValue="0" maxValue="2.2000000000000002" count="4">
        <n v="0"/>
        <n v="2"/>
        <n v="2.1"/>
        <n v="2.2000000000000002"/>
      </sharedItems>
    </cacheField>
    <cacheField name="RNA/230" numFmtId="0">
      <sharedItems containsSemiMixedTypes="0" containsString="0" containsNumber="1" minValue="0" maxValue="2.2999999999999998" count="31">
        <n v="0"/>
        <n v="0.4"/>
        <n v="0.54"/>
        <n v="1.2"/>
        <n v="1.3"/>
        <n v="1.5"/>
        <n v="1.56"/>
        <n v="1.57"/>
        <n v="1.6"/>
        <n v="1.7"/>
        <n v="1.8"/>
        <n v="1.9"/>
        <n v="1.94"/>
        <n v="1.95"/>
        <n v="1.96"/>
        <n v="1.98"/>
        <n v="1.99"/>
        <n v="2"/>
        <n v="2.02"/>
        <n v="2.06"/>
        <n v="2.1"/>
        <n v="2.14"/>
        <n v="2.16"/>
        <n v="2.1800000000000002"/>
        <n v="2.19"/>
        <n v="2.2000000000000002"/>
        <n v="2.21"/>
        <n v="2.2200000000000002"/>
        <n v="2.25"/>
        <n v="2.2799999999999998"/>
        <n v="2.2999999999999998"/>
      </sharedItems>
    </cacheField>
    <cacheField name="Volume(ul)2" numFmtId="0">
      <sharedItems containsSemiMixedTypes="0" containsString="0" containsNumber="1" minValue="43.5" maxValue="43.5" count="1">
        <n v="43.5"/>
      </sharedItems>
    </cacheField>
    <cacheField name="Total RNA (ng)" numFmtId="0">
      <sharedItems containsSemiMixedTypes="0" containsString="0" containsNumber="1" minValue="0" maxValue="48850.5" count="87">
        <n v="0"/>
        <n v="1348.5"/>
        <n v="2218.5"/>
        <n v="3523.5"/>
        <n v="3610.5"/>
        <n v="3741"/>
        <n v="4263"/>
        <n v="4350"/>
        <n v="4567.5"/>
        <n v="4654.5"/>
        <n v="4785"/>
        <n v="4872"/>
        <n v="5089.5"/>
        <n v="5307"/>
        <n v="5524.5"/>
        <n v="6003"/>
        <n v="6090"/>
        <n v="6133.5"/>
        <n v="6481.5"/>
        <n v="6655.5"/>
        <n v="7090.5"/>
        <n v="7221"/>
        <n v="7699.5"/>
        <n v="7786.5"/>
        <n v="7830"/>
        <n v="7917"/>
        <n v="8091"/>
        <n v="8265"/>
        <n v="8482.5"/>
        <n v="8874"/>
        <n v="8961"/>
        <n v="9178.5"/>
        <n v="9352.5"/>
        <n v="9396"/>
        <n v="9787.5"/>
        <n v="9831"/>
        <n v="10309.5"/>
        <n v="10440"/>
        <n v="10570.5"/>
        <n v="10744.5"/>
        <n v="11049"/>
        <n v="12180"/>
        <n v="12484.5"/>
        <n v="12658.5"/>
        <n v="12919.5"/>
        <n v="13093.5"/>
        <n v="13180.5"/>
        <n v="13659"/>
        <n v="13876.5"/>
        <n v="14311.5"/>
        <n v="14485.5"/>
        <n v="14877"/>
        <n v="15312"/>
        <n v="15442.5"/>
        <n v="15747"/>
        <n v="15790.5"/>
        <n v="16225.5"/>
        <n v="16965"/>
        <n v="17661"/>
        <n v="19923"/>
        <n v="20314.5"/>
        <n v="20575.5"/>
        <n v="20880"/>
        <n v="21228"/>
        <n v="21576"/>
        <n v="21706.5"/>
        <n v="22663.5"/>
        <n v="22794"/>
        <n v="22968"/>
        <n v="23098.5"/>
        <n v="23533.5"/>
        <n v="25273.5"/>
        <n v="25447.5"/>
        <n v="25752"/>
        <n v="25839"/>
        <n v="26274"/>
        <n v="26839.5"/>
        <n v="27144"/>
        <n v="27579"/>
        <n v="27970.5"/>
        <n v="31015.5"/>
        <n v="31146"/>
        <n v="40150.5"/>
        <n v="41977.5"/>
        <n v="42151.5"/>
        <n v="44500.5"/>
        <n v="48850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">
  <r>
    <x v="0"/>
    <x v="19"/>
    <x v="1"/>
    <x v="1"/>
    <x v="0"/>
    <x v="26"/>
    <x v="1"/>
    <x v="13"/>
    <x v="0"/>
    <x v="26"/>
    <x v="0"/>
    <x v="0"/>
    <x v="30"/>
    <x v="3"/>
    <x v="28"/>
    <x v="0"/>
    <x v="30"/>
  </r>
  <r>
    <x v="1"/>
    <x v="18"/>
    <x v="1"/>
    <x v="1"/>
    <x v="0"/>
    <x v="70"/>
    <x v="1"/>
    <x v="20"/>
    <x v="0"/>
    <x v="70"/>
    <x v="0"/>
    <x v="0"/>
    <x v="44"/>
    <x v="3"/>
    <x v="18"/>
    <x v="0"/>
    <x v="44"/>
  </r>
  <r>
    <x v="2"/>
    <x v="17"/>
    <x v="1"/>
    <x v="1"/>
    <x v="0"/>
    <x v="3"/>
    <x v="1"/>
    <x v="0"/>
    <x v="0"/>
    <x v="3"/>
    <x v="0"/>
    <x v="0"/>
    <x v="1"/>
    <x v="2"/>
    <x v="7"/>
    <x v="0"/>
    <x v="1"/>
  </r>
  <r>
    <x v="3"/>
    <x v="14"/>
    <x v="0"/>
    <x v="1"/>
    <x v="0"/>
    <x v="66"/>
    <x v="1"/>
    <x v="14"/>
    <x v="0"/>
    <x v="66"/>
    <x v="0"/>
    <x v="0"/>
    <x v="73"/>
    <x v="3"/>
    <x v="24"/>
    <x v="0"/>
    <x v="73"/>
  </r>
  <r>
    <x v="4"/>
    <x v="19"/>
    <x v="0"/>
    <x v="1"/>
    <x v="0"/>
    <x v="36"/>
    <x v="1"/>
    <x v="28"/>
    <x v="0"/>
    <x v="36"/>
    <x v="0"/>
    <x v="0"/>
    <x v="57"/>
    <x v="3"/>
    <x v="26"/>
    <x v="0"/>
    <x v="57"/>
  </r>
  <r>
    <x v="5"/>
    <x v="18"/>
    <x v="0"/>
    <x v="1"/>
    <x v="0"/>
    <x v="33"/>
    <x v="1"/>
    <x v="11"/>
    <x v="0"/>
    <x v="33"/>
    <x v="0"/>
    <x v="0"/>
    <x v="82"/>
    <x v="3"/>
    <x v="19"/>
    <x v="0"/>
    <x v="82"/>
  </r>
  <r>
    <x v="6"/>
    <x v="17"/>
    <x v="0"/>
    <x v="1"/>
    <x v="0"/>
    <x v="71"/>
    <x v="2"/>
    <x v="23"/>
    <x v="0"/>
    <x v="71"/>
    <x v="0"/>
    <x v="0"/>
    <x v="63"/>
    <x v="3"/>
    <x v="27"/>
    <x v="0"/>
    <x v="63"/>
  </r>
  <r>
    <x v="7"/>
    <x v="16"/>
    <x v="1"/>
    <x v="1"/>
    <x v="0"/>
    <x v="68"/>
    <x v="1"/>
    <x v="15"/>
    <x v="0"/>
    <x v="68"/>
    <x v="0"/>
    <x v="0"/>
    <x v="75"/>
    <x v="3"/>
    <x v="29"/>
    <x v="0"/>
    <x v="75"/>
  </r>
  <r>
    <x v="8"/>
    <x v="16"/>
    <x v="0"/>
    <x v="1"/>
    <x v="0"/>
    <x v="32"/>
    <x v="1"/>
    <x v="39"/>
    <x v="0"/>
    <x v="32"/>
    <x v="0"/>
    <x v="0"/>
    <x v="74"/>
    <x v="3"/>
    <x v="28"/>
    <x v="0"/>
    <x v="74"/>
  </r>
  <r>
    <x v="9"/>
    <x v="15"/>
    <x v="0"/>
    <x v="1"/>
    <x v="0"/>
    <x v="42"/>
    <x v="1"/>
    <x v="31"/>
    <x v="0"/>
    <x v="42"/>
    <x v="0"/>
    <x v="0"/>
    <x v="65"/>
    <x v="3"/>
    <x v="12"/>
    <x v="0"/>
    <x v="65"/>
  </r>
  <r>
    <x v="10"/>
    <x v="15"/>
    <x v="0"/>
    <x v="1"/>
    <x v="0"/>
    <x v="30"/>
    <x v="1"/>
    <x v="40"/>
    <x v="0"/>
    <x v="30"/>
    <x v="0"/>
    <x v="0"/>
    <x v="52"/>
    <x v="3"/>
    <x v="2"/>
    <x v="0"/>
    <x v="52"/>
  </r>
  <r>
    <x v="11"/>
    <x v="14"/>
    <x v="1"/>
    <x v="1"/>
    <x v="0"/>
    <x v="47"/>
    <x v="1"/>
    <x v="30"/>
    <x v="0"/>
    <x v="47"/>
    <x v="0"/>
    <x v="0"/>
    <x v="51"/>
    <x v="3"/>
    <x v="15"/>
    <x v="0"/>
    <x v="51"/>
  </r>
  <r>
    <x v="12"/>
    <x v="14"/>
    <x v="0"/>
    <x v="1"/>
    <x v="0"/>
    <x v="17"/>
    <x v="1"/>
    <x v="38"/>
    <x v="0"/>
    <x v="17"/>
    <x v="0"/>
    <x v="0"/>
    <x v="84"/>
    <x v="3"/>
    <x v="26"/>
    <x v="0"/>
    <x v="84"/>
  </r>
  <r>
    <x v="13"/>
    <x v="19"/>
    <x v="0"/>
    <x v="1"/>
    <x v="0"/>
    <x v="56"/>
    <x v="1"/>
    <x v="24"/>
    <x v="0"/>
    <x v="56"/>
    <x v="0"/>
    <x v="0"/>
    <x v="69"/>
    <x v="3"/>
    <x v="22"/>
    <x v="0"/>
    <x v="69"/>
  </r>
  <r>
    <x v="14"/>
    <x v="17"/>
    <x v="0"/>
    <x v="1"/>
    <x v="0"/>
    <x v="31"/>
    <x v="1"/>
    <x v="31"/>
    <x v="0"/>
    <x v="31"/>
    <x v="0"/>
    <x v="0"/>
    <x v="31"/>
    <x v="3"/>
    <x v="26"/>
    <x v="0"/>
    <x v="31"/>
  </r>
  <r>
    <x v="15"/>
    <x v="17"/>
    <x v="1"/>
    <x v="1"/>
    <x v="0"/>
    <x v="51"/>
    <x v="1"/>
    <x v="34"/>
    <x v="0"/>
    <x v="51"/>
    <x v="0"/>
    <x v="0"/>
    <x v="46"/>
    <x v="3"/>
    <x v="21"/>
    <x v="0"/>
    <x v="46"/>
  </r>
  <r>
    <x v="16"/>
    <x v="18"/>
    <x v="0"/>
    <x v="1"/>
    <x v="0"/>
    <x v="14"/>
    <x v="1"/>
    <x v="4"/>
    <x v="0"/>
    <x v="14"/>
    <x v="0"/>
    <x v="0"/>
    <x v="33"/>
    <x v="3"/>
    <x v="16"/>
    <x v="0"/>
    <x v="33"/>
  </r>
  <r>
    <x v="17"/>
    <x v="18"/>
    <x v="1"/>
    <x v="1"/>
    <x v="0"/>
    <x v="54"/>
    <x v="1"/>
    <x v="29"/>
    <x v="0"/>
    <x v="54"/>
    <x v="0"/>
    <x v="0"/>
    <x v="58"/>
    <x v="3"/>
    <x v="23"/>
    <x v="0"/>
    <x v="58"/>
  </r>
  <r>
    <x v="18"/>
    <x v="14"/>
    <x v="1"/>
    <x v="1"/>
    <x v="0"/>
    <x v="41"/>
    <x v="1"/>
    <x v="30"/>
    <x v="0"/>
    <x v="41"/>
    <x v="0"/>
    <x v="0"/>
    <x v="7"/>
    <x v="2"/>
    <x v="6"/>
    <x v="0"/>
    <x v="7"/>
  </r>
  <r>
    <x v="19"/>
    <x v="13"/>
    <x v="0"/>
    <x v="1"/>
    <x v="0"/>
    <x v="57"/>
    <x v="1"/>
    <x v="7"/>
    <x v="0"/>
    <x v="57"/>
    <x v="0"/>
    <x v="0"/>
    <x v="77"/>
    <x v="3"/>
    <x v="11"/>
    <x v="0"/>
    <x v="77"/>
  </r>
  <r>
    <x v="20"/>
    <x v="12"/>
    <x v="1"/>
    <x v="1"/>
    <x v="0"/>
    <x v="30"/>
    <x v="1"/>
    <x v="35"/>
    <x v="0"/>
    <x v="30"/>
    <x v="1"/>
    <x v="0"/>
    <x v="37"/>
    <x v="2"/>
    <x v="13"/>
    <x v="0"/>
    <x v="37"/>
  </r>
  <r>
    <x v="21"/>
    <x v="12"/>
    <x v="0"/>
    <x v="1"/>
    <x v="0"/>
    <x v="22"/>
    <x v="1"/>
    <x v="35"/>
    <x v="0"/>
    <x v="22"/>
    <x v="1"/>
    <x v="0"/>
    <x v="54"/>
    <x v="3"/>
    <x v="14"/>
    <x v="0"/>
    <x v="54"/>
  </r>
  <r>
    <x v="22"/>
    <x v="13"/>
    <x v="1"/>
    <x v="1"/>
    <x v="0"/>
    <x v="15"/>
    <x v="1"/>
    <x v="41"/>
    <x v="0"/>
    <x v="15"/>
    <x v="1"/>
    <x v="0"/>
    <x v="16"/>
    <x v="3"/>
    <x v="20"/>
    <x v="0"/>
    <x v="16"/>
  </r>
  <r>
    <x v="23"/>
    <x v="13"/>
    <x v="0"/>
    <x v="1"/>
    <x v="0"/>
    <x v="48"/>
    <x v="1"/>
    <x v="26"/>
    <x v="0"/>
    <x v="48"/>
    <x v="1"/>
    <x v="0"/>
    <x v="34"/>
    <x v="3"/>
    <x v="25"/>
    <x v="0"/>
    <x v="34"/>
  </r>
  <r>
    <x v="24"/>
    <x v="12"/>
    <x v="1"/>
    <x v="1"/>
    <x v="0"/>
    <x v="23"/>
    <x v="1"/>
    <x v="30"/>
    <x v="0"/>
    <x v="23"/>
    <x v="1"/>
    <x v="0"/>
    <x v="27"/>
    <x v="1"/>
    <x v="3"/>
    <x v="0"/>
    <x v="27"/>
  </r>
  <r>
    <x v="25"/>
    <x v="12"/>
    <x v="0"/>
    <x v="1"/>
    <x v="0"/>
    <x v="24"/>
    <x v="1"/>
    <x v="33"/>
    <x v="0"/>
    <x v="24"/>
    <x v="1"/>
    <x v="0"/>
    <x v="67"/>
    <x v="3"/>
    <x v="17"/>
    <x v="0"/>
    <x v="67"/>
  </r>
  <r>
    <x v="26"/>
    <x v="13"/>
    <x v="1"/>
    <x v="1"/>
    <x v="0"/>
    <x v="11"/>
    <x v="1"/>
    <x v="21"/>
    <x v="0"/>
    <x v="11"/>
    <x v="1"/>
    <x v="0"/>
    <x v="7"/>
    <x v="3"/>
    <x v="20"/>
    <x v="0"/>
    <x v="7"/>
  </r>
  <r>
    <x v="27"/>
    <x v="13"/>
    <x v="0"/>
    <x v="1"/>
    <x v="0"/>
    <x v="63"/>
    <x v="1"/>
    <x v="23"/>
    <x v="0"/>
    <x v="63"/>
    <x v="1"/>
    <x v="0"/>
    <x v="70"/>
    <x v="3"/>
    <x v="25"/>
    <x v="0"/>
    <x v="70"/>
  </r>
  <r>
    <x v="28"/>
    <x v="12"/>
    <x v="1"/>
    <x v="1"/>
    <x v="0"/>
    <x v="28"/>
    <x v="1"/>
    <x v="25"/>
    <x v="0"/>
    <x v="28"/>
    <x v="1"/>
    <x v="0"/>
    <x v="40"/>
    <x v="3"/>
    <x v="25"/>
    <x v="0"/>
    <x v="40"/>
  </r>
  <r>
    <x v="29"/>
    <x v="12"/>
    <x v="1"/>
    <x v="1"/>
    <x v="0"/>
    <x v="30"/>
    <x v="1"/>
    <x v="24"/>
    <x v="0"/>
    <x v="30"/>
    <x v="1"/>
    <x v="0"/>
    <x v="32"/>
    <x v="3"/>
    <x v="25"/>
    <x v="0"/>
    <x v="32"/>
  </r>
  <r>
    <x v="30"/>
    <x v="12"/>
    <x v="1"/>
    <x v="1"/>
    <x v="0"/>
    <x v="52"/>
    <x v="1"/>
    <x v="32"/>
    <x v="0"/>
    <x v="52"/>
    <x v="1"/>
    <x v="0"/>
    <x v="50"/>
    <x v="3"/>
    <x v="25"/>
    <x v="0"/>
    <x v="50"/>
  </r>
  <r>
    <x v="31"/>
    <x v="11"/>
    <x v="1"/>
    <x v="1"/>
    <x v="0"/>
    <x v="46"/>
    <x v="1"/>
    <x v="22"/>
    <x v="0"/>
    <x v="46"/>
    <x v="1"/>
    <x v="0"/>
    <x v="35"/>
    <x v="3"/>
    <x v="20"/>
    <x v="0"/>
    <x v="35"/>
  </r>
  <r>
    <x v="32"/>
    <x v="11"/>
    <x v="0"/>
    <x v="1"/>
    <x v="0"/>
    <x v="66"/>
    <x v="1"/>
    <x v="16"/>
    <x v="0"/>
    <x v="66"/>
    <x v="1"/>
    <x v="0"/>
    <x v="72"/>
    <x v="3"/>
    <x v="25"/>
    <x v="0"/>
    <x v="72"/>
  </r>
  <r>
    <x v="33"/>
    <x v="10"/>
    <x v="0"/>
    <x v="1"/>
    <x v="0"/>
    <x v="60"/>
    <x v="1"/>
    <x v="2"/>
    <x v="0"/>
    <x v="60"/>
    <x v="1"/>
    <x v="0"/>
    <x v="64"/>
    <x v="3"/>
    <x v="30"/>
    <x v="0"/>
    <x v="64"/>
  </r>
  <r>
    <x v="34"/>
    <x v="10"/>
    <x v="0"/>
    <x v="1"/>
    <x v="0"/>
    <x v="65"/>
    <x v="1"/>
    <x v="24"/>
    <x v="0"/>
    <x v="65"/>
    <x v="1"/>
    <x v="0"/>
    <x v="78"/>
    <x v="3"/>
    <x v="25"/>
    <x v="0"/>
    <x v="78"/>
  </r>
  <r>
    <x v="35"/>
    <x v="9"/>
    <x v="1"/>
    <x v="1"/>
    <x v="0"/>
    <x v="30"/>
    <x v="1"/>
    <x v="18"/>
    <x v="0"/>
    <x v="30"/>
    <x v="1"/>
    <x v="0"/>
    <x v="14"/>
    <x v="3"/>
    <x v="10"/>
    <x v="0"/>
    <x v="14"/>
  </r>
  <r>
    <x v="36"/>
    <x v="9"/>
    <x v="1"/>
    <x v="1"/>
    <x v="0"/>
    <x v="8"/>
    <x v="1"/>
    <x v="36"/>
    <x v="0"/>
    <x v="8"/>
    <x v="1"/>
    <x v="0"/>
    <x v="8"/>
    <x v="3"/>
    <x v="8"/>
    <x v="0"/>
    <x v="8"/>
  </r>
  <r>
    <x v="37"/>
    <x v="11"/>
    <x v="0"/>
    <x v="1"/>
    <x v="0"/>
    <x v="58"/>
    <x v="1"/>
    <x v="27"/>
    <x v="0"/>
    <x v="58"/>
    <x v="1"/>
    <x v="0"/>
    <x v="68"/>
    <x v="3"/>
    <x v="25"/>
    <x v="0"/>
    <x v="68"/>
  </r>
  <r>
    <x v="38"/>
    <x v="11"/>
    <x v="1"/>
    <x v="1"/>
    <x v="0"/>
    <x v="21"/>
    <x v="1"/>
    <x v="37"/>
    <x v="0"/>
    <x v="21"/>
    <x v="1"/>
    <x v="0"/>
    <x v="9"/>
    <x v="3"/>
    <x v="11"/>
    <x v="0"/>
    <x v="9"/>
  </r>
  <r>
    <x v="39"/>
    <x v="10"/>
    <x v="0"/>
    <x v="1"/>
    <x v="0"/>
    <x v="45"/>
    <x v="1"/>
    <x v="26"/>
    <x v="0"/>
    <x v="45"/>
    <x v="1"/>
    <x v="0"/>
    <x v="56"/>
    <x v="3"/>
    <x v="25"/>
    <x v="0"/>
    <x v="56"/>
  </r>
  <r>
    <x v="40"/>
    <x v="9"/>
    <x v="1"/>
    <x v="1"/>
    <x v="0"/>
    <x v="29"/>
    <x v="1"/>
    <x v="4"/>
    <x v="0"/>
    <x v="29"/>
    <x v="1"/>
    <x v="0"/>
    <x v="22"/>
    <x v="3"/>
    <x v="25"/>
    <x v="0"/>
    <x v="22"/>
  </r>
  <r>
    <x v="41"/>
    <x v="9"/>
    <x v="0"/>
    <x v="1"/>
    <x v="0"/>
    <x v="22"/>
    <x v="1"/>
    <x v="40"/>
    <x v="0"/>
    <x v="22"/>
    <x v="1"/>
    <x v="0"/>
    <x v="12"/>
    <x v="3"/>
    <x v="20"/>
    <x v="0"/>
    <x v="12"/>
  </r>
  <r>
    <x v="42"/>
    <x v="11"/>
    <x v="1"/>
    <x v="0"/>
    <x v="1"/>
    <x v="14"/>
    <x v="1"/>
    <x v="18"/>
    <x v="0"/>
    <x v="14"/>
    <x v="2"/>
    <x v="0"/>
    <x v="26"/>
    <x v="2"/>
    <x v="11"/>
    <x v="0"/>
    <x v="26"/>
  </r>
  <r>
    <x v="43"/>
    <x v="9"/>
    <x v="0"/>
    <x v="0"/>
    <x v="1"/>
    <x v="50"/>
    <x v="1"/>
    <x v="17"/>
    <x v="0"/>
    <x v="50"/>
    <x v="2"/>
    <x v="0"/>
    <x v="71"/>
    <x v="3"/>
    <x v="20"/>
    <x v="0"/>
    <x v="71"/>
  </r>
  <r>
    <x v="44"/>
    <x v="9"/>
    <x v="0"/>
    <x v="0"/>
    <x v="1"/>
    <x v="20"/>
    <x v="0"/>
    <x v="17"/>
    <x v="0"/>
    <x v="20"/>
    <x v="2"/>
    <x v="0"/>
    <x v="76"/>
    <x v="3"/>
    <x v="25"/>
    <x v="0"/>
    <x v="76"/>
  </r>
  <r>
    <x v="45"/>
    <x v="11"/>
    <x v="0"/>
    <x v="0"/>
    <x v="1"/>
    <x v="67"/>
    <x v="5"/>
    <x v="20"/>
    <x v="0"/>
    <x v="67"/>
    <x v="2"/>
    <x v="0"/>
    <x v="0"/>
    <x v="0"/>
    <x v="0"/>
    <x v="0"/>
    <x v="0"/>
  </r>
  <r>
    <x v="46"/>
    <x v="11"/>
    <x v="1"/>
    <x v="0"/>
    <x v="1"/>
    <x v="44"/>
    <x v="1"/>
    <x v="20"/>
    <x v="0"/>
    <x v="44"/>
    <x v="2"/>
    <x v="0"/>
    <x v="0"/>
    <x v="0"/>
    <x v="0"/>
    <x v="0"/>
    <x v="0"/>
  </r>
  <r>
    <x v="47"/>
    <x v="9"/>
    <x v="1"/>
    <x v="0"/>
    <x v="1"/>
    <x v="18"/>
    <x v="1"/>
    <x v="2"/>
    <x v="0"/>
    <x v="18"/>
    <x v="2"/>
    <x v="0"/>
    <x v="19"/>
    <x v="3"/>
    <x v="20"/>
    <x v="0"/>
    <x v="19"/>
  </r>
  <r>
    <x v="48"/>
    <x v="9"/>
    <x v="0"/>
    <x v="0"/>
    <x v="1"/>
    <x v="49"/>
    <x v="2"/>
    <x v="20"/>
    <x v="0"/>
    <x v="49"/>
    <x v="2"/>
    <x v="0"/>
    <x v="49"/>
    <x v="3"/>
    <x v="9"/>
    <x v="0"/>
    <x v="49"/>
  </r>
  <r>
    <x v="49"/>
    <x v="8"/>
    <x v="1"/>
    <x v="0"/>
    <x v="1"/>
    <x v="13"/>
    <x v="1"/>
    <x v="18"/>
    <x v="0"/>
    <x v="13"/>
    <x v="2"/>
    <x v="0"/>
    <x v="15"/>
    <x v="3"/>
    <x v="20"/>
    <x v="0"/>
    <x v="15"/>
  </r>
  <r>
    <x v="50"/>
    <x v="8"/>
    <x v="0"/>
    <x v="0"/>
    <x v="1"/>
    <x v="22"/>
    <x v="1"/>
    <x v="11"/>
    <x v="0"/>
    <x v="22"/>
    <x v="2"/>
    <x v="0"/>
    <x v="62"/>
    <x v="3"/>
    <x v="20"/>
    <x v="0"/>
    <x v="62"/>
  </r>
  <r>
    <x v="51"/>
    <x v="7"/>
    <x v="1"/>
    <x v="0"/>
    <x v="1"/>
    <x v="42"/>
    <x v="1"/>
    <x v="12"/>
    <x v="0"/>
    <x v="42"/>
    <x v="2"/>
    <x v="0"/>
    <x v="39"/>
    <x v="3"/>
    <x v="25"/>
    <x v="0"/>
    <x v="39"/>
  </r>
  <r>
    <x v="52"/>
    <x v="8"/>
    <x v="1"/>
    <x v="0"/>
    <x v="1"/>
    <x v="29"/>
    <x v="1"/>
    <x v="19"/>
    <x v="0"/>
    <x v="29"/>
    <x v="2"/>
    <x v="0"/>
    <x v="42"/>
    <x v="3"/>
    <x v="20"/>
    <x v="0"/>
    <x v="42"/>
  </r>
  <r>
    <x v="53"/>
    <x v="7"/>
    <x v="0"/>
    <x v="0"/>
    <x v="1"/>
    <x v="72"/>
    <x v="3"/>
    <x v="20"/>
    <x v="0"/>
    <x v="72"/>
    <x v="2"/>
    <x v="0"/>
    <x v="81"/>
    <x v="3"/>
    <x v="30"/>
    <x v="0"/>
    <x v="81"/>
  </r>
  <r>
    <x v="54"/>
    <x v="8"/>
    <x v="0"/>
    <x v="0"/>
    <x v="1"/>
    <x v="5"/>
    <x v="1"/>
    <x v="15"/>
    <x v="0"/>
    <x v="5"/>
    <x v="2"/>
    <x v="0"/>
    <x v="55"/>
    <x v="3"/>
    <x v="20"/>
    <x v="0"/>
    <x v="55"/>
  </r>
  <r>
    <x v="55"/>
    <x v="8"/>
    <x v="1"/>
    <x v="0"/>
    <x v="1"/>
    <x v="27"/>
    <x v="1"/>
    <x v="17"/>
    <x v="0"/>
    <x v="27"/>
    <x v="2"/>
    <x v="0"/>
    <x v="53"/>
    <x v="3"/>
    <x v="25"/>
    <x v="0"/>
    <x v="53"/>
  </r>
  <r>
    <x v="56"/>
    <x v="7"/>
    <x v="1"/>
    <x v="0"/>
    <x v="1"/>
    <x v="13"/>
    <x v="1"/>
    <x v="18"/>
    <x v="0"/>
    <x v="13"/>
    <x v="2"/>
    <x v="0"/>
    <x v="18"/>
    <x v="3"/>
    <x v="8"/>
    <x v="0"/>
    <x v="18"/>
  </r>
  <r>
    <x v="57"/>
    <x v="7"/>
    <x v="0"/>
    <x v="0"/>
    <x v="1"/>
    <x v="56"/>
    <x v="2"/>
    <x v="10"/>
    <x v="0"/>
    <x v="56"/>
    <x v="3"/>
    <x v="0"/>
    <x v="66"/>
    <x v="3"/>
    <x v="25"/>
    <x v="0"/>
    <x v="66"/>
  </r>
  <r>
    <x v="58"/>
    <x v="7"/>
    <x v="1"/>
    <x v="0"/>
    <x v="1"/>
    <x v="23"/>
    <x v="1"/>
    <x v="16"/>
    <x v="0"/>
    <x v="23"/>
    <x v="3"/>
    <x v="0"/>
    <x v="11"/>
    <x v="2"/>
    <x v="11"/>
    <x v="0"/>
    <x v="11"/>
  </r>
  <r>
    <x v="59"/>
    <x v="7"/>
    <x v="0"/>
    <x v="0"/>
    <x v="1"/>
    <x v="39"/>
    <x v="1"/>
    <x v="15"/>
    <x v="0"/>
    <x v="39"/>
    <x v="3"/>
    <x v="0"/>
    <x v="79"/>
    <x v="3"/>
    <x v="20"/>
    <x v="0"/>
    <x v="79"/>
  </r>
  <r>
    <x v="60"/>
    <x v="6"/>
    <x v="0"/>
    <x v="0"/>
    <x v="1"/>
    <x v="46"/>
    <x v="2"/>
    <x v="20"/>
    <x v="0"/>
    <x v="46"/>
    <x v="3"/>
    <x v="0"/>
    <x v="59"/>
    <x v="3"/>
    <x v="25"/>
    <x v="0"/>
    <x v="59"/>
  </r>
  <r>
    <x v="61"/>
    <x v="6"/>
    <x v="0"/>
    <x v="0"/>
    <x v="1"/>
    <x v="64"/>
    <x v="2"/>
    <x v="16"/>
    <x v="0"/>
    <x v="64"/>
    <x v="3"/>
    <x v="0"/>
    <x v="73"/>
    <x v="3"/>
    <x v="25"/>
    <x v="0"/>
    <x v="73"/>
  </r>
  <r>
    <x v="62"/>
    <x v="5"/>
    <x v="0"/>
    <x v="0"/>
    <x v="1"/>
    <x v="61"/>
    <x v="2"/>
    <x v="20"/>
    <x v="0"/>
    <x v="61"/>
    <x v="3"/>
    <x v="0"/>
    <x v="60"/>
    <x v="3"/>
    <x v="25"/>
    <x v="0"/>
    <x v="60"/>
  </r>
  <r>
    <x v="63"/>
    <x v="4"/>
    <x v="1"/>
    <x v="0"/>
    <x v="1"/>
    <x v="69"/>
    <x v="2"/>
    <x v="17"/>
    <x v="0"/>
    <x v="69"/>
    <x v="3"/>
    <x v="0"/>
    <x v="14"/>
    <x v="3"/>
    <x v="20"/>
    <x v="0"/>
    <x v="14"/>
  </r>
  <r>
    <x v="64"/>
    <x v="6"/>
    <x v="0"/>
    <x v="0"/>
    <x v="1"/>
    <x v="37"/>
    <x v="2"/>
    <x v="20"/>
    <x v="0"/>
    <x v="37"/>
    <x v="3"/>
    <x v="0"/>
    <x v="43"/>
    <x v="3"/>
    <x v="20"/>
    <x v="0"/>
    <x v="43"/>
  </r>
  <r>
    <x v="65"/>
    <x v="6"/>
    <x v="1"/>
    <x v="0"/>
    <x v="1"/>
    <x v="0"/>
    <x v="0"/>
    <x v="15"/>
    <x v="0"/>
    <x v="0"/>
    <x v="3"/>
    <x v="0"/>
    <x v="2"/>
    <x v="2"/>
    <x v="5"/>
    <x v="0"/>
    <x v="2"/>
  </r>
  <r>
    <x v="66"/>
    <x v="5"/>
    <x v="0"/>
    <x v="0"/>
    <x v="1"/>
    <x v="37"/>
    <x v="4"/>
    <x v="20"/>
    <x v="0"/>
    <x v="37"/>
    <x v="3"/>
    <x v="0"/>
    <x v="47"/>
    <x v="3"/>
    <x v="20"/>
    <x v="0"/>
    <x v="47"/>
  </r>
  <r>
    <x v="67"/>
    <x v="4"/>
    <x v="0"/>
    <x v="0"/>
    <x v="1"/>
    <x v="62"/>
    <x v="2"/>
    <x v="20"/>
    <x v="0"/>
    <x v="62"/>
    <x v="3"/>
    <x v="0"/>
    <x v="28"/>
    <x v="3"/>
    <x v="20"/>
    <x v="0"/>
    <x v="28"/>
  </r>
  <r>
    <x v="68"/>
    <x v="6"/>
    <x v="1"/>
    <x v="0"/>
    <x v="1"/>
    <x v="22"/>
    <x v="1"/>
    <x v="18"/>
    <x v="0"/>
    <x v="22"/>
    <x v="3"/>
    <x v="0"/>
    <x v="20"/>
    <x v="3"/>
    <x v="25"/>
    <x v="0"/>
    <x v="20"/>
  </r>
  <r>
    <x v="69"/>
    <x v="5"/>
    <x v="1"/>
    <x v="0"/>
    <x v="1"/>
    <x v="12"/>
    <x v="1"/>
    <x v="14"/>
    <x v="0"/>
    <x v="12"/>
    <x v="3"/>
    <x v="0"/>
    <x v="6"/>
    <x v="3"/>
    <x v="17"/>
    <x v="0"/>
    <x v="6"/>
  </r>
  <r>
    <x v="70"/>
    <x v="5"/>
    <x v="0"/>
    <x v="0"/>
    <x v="1"/>
    <x v="53"/>
    <x v="1"/>
    <x v="20"/>
    <x v="0"/>
    <x v="53"/>
    <x v="3"/>
    <x v="0"/>
    <x v="38"/>
    <x v="3"/>
    <x v="11"/>
    <x v="0"/>
    <x v="38"/>
  </r>
  <r>
    <x v="71"/>
    <x v="6"/>
    <x v="1"/>
    <x v="0"/>
    <x v="1"/>
    <x v="40"/>
    <x v="1"/>
    <x v="19"/>
    <x v="0"/>
    <x v="40"/>
    <x v="3"/>
    <x v="0"/>
    <x v="24"/>
    <x v="3"/>
    <x v="25"/>
    <x v="0"/>
    <x v="24"/>
  </r>
  <r>
    <x v="72"/>
    <x v="5"/>
    <x v="1"/>
    <x v="0"/>
    <x v="1"/>
    <x v="10"/>
    <x v="2"/>
    <x v="18"/>
    <x v="0"/>
    <x v="10"/>
    <x v="3"/>
    <x v="0"/>
    <x v="3"/>
    <x v="2"/>
    <x v="1"/>
    <x v="0"/>
    <x v="3"/>
  </r>
  <r>
    <x v="73"/>
    <x v="3"/>
    <x v="1"/>
    <x v="0"/>
    <x v="2"/>
    <x v="43"/>
    <x v="1"/>
    <x v="2"/>
    <x v="0"/>
    <x v="43"/>
    <x v="4"/>
    <x v="0"/>
    <x v="38"/>
    <x v="3"/>
    <x v="20"/>
    <x v="0"/>
    <x v="38"/>
  </r>
  <r>
    <x v="74"/>
    <x v="5"/>
    <x v="1"/>
    <x v="0"/>
    <x v="2"/>
    <x v="9"/>
    <x v="1"/>
    <x v="2"/>
    <x v="0"/>
    <x v="9"/>
    <x v="4"/>
    <x v="0"/>
    <x v="10"/>
    <x v="3"/>
    <x v="10"/>
    <x v="0"/>
    <x v="10"/>
  </r>
  <r>
    <x v="75"/>
    <x v="5"/>
    <x v="1"/>
    <x v="0"/>
    <x v="2"/>
    <x v="4"/>
    <x v="1"/>
    <x v="1"/>
    <x v="0"/>
    <x v="4"/>
    <x v="4"/>
    <x v="0"/>
    <x v="13"/>
    <x v="3"/>
    <x v="4"/>
    <x v="0"/>
    <x v="13"/>
  </r>
  <r>
    <x v="76"/>
    <x v="3"/>
    <x v="0"/>
    <x v="0"/>
    <x v="2"/>
    <x v="35"/>
    <x v="2"/>
    <x v="18"/>
    <x v="0"/>
    <x v="35"/>
    <x v="4"/>
    <x v="0"/>
    <x v="86"/>
    <x v="3"/>
    <x v="25"/>
    <x v="0"/>
    <x v="86"/>
  </r>
  <r>
    <x v="77"/>
    <x v="3"/>
    <x v="0"/>
    <x v="0"/>
    <x v="2"/>
    <x v="38"/>
    <x v="1"/>
    <x v="17"/>
    <x v="0"/>
    <x v="38"/>
    <x v="4"/>
    <x v="0"/>
    <x v="83"/>
    <x v="3"/>
    <x v="10"/>
    <x v="0"/>
    <x v="83"/>
  </r>
  <r>
    <x v="78"/>
    <x v="3"/>
    <x v="0"/>
    <x v="0"/>
    <x v="2"/>
    <x v="34"/>
    <x v="1"/>
    <x v="18"/>
    <x v="0"/>
    <x v="34"/>
    <x v="4"/>
    <x v="0"/>
    <x v="80"/>
    <x v="3"/>
    <x v="25"/>
    <x v="0"/>
    <x v="80"/>
  </r>
  <r>
    <x v="79"/>
    <x v="3"/>
    <x v="1"/>
    <x v="0"/>
    <x v="2"/>
    <x v="55"/>
    <x v="1"/>
    <x v="17"/>
    <x v="0"/>
    <x v="55"/>
    <x v="4"/>
    <x v="0"/>
    <x v="41"/>
    <x v="3"/>
    <x v="11"/>
    <x v="0"/>
    <x v="41"/>
  </r>
  <r>
    <x v="80"/>
    <x v="3"/>
    <x v="1"/>
    <x v="0"/>
    <x v="2"/>
    <x v="33"/>
    <x v="1"/>
    <x v="16"/>
    <x v="0"/>
    <x v="33"/>
    <x v="4"/>
    <x v="0"/>
    <x v="25"/>
    <x v="3"/>
    <x v="11"/>
    <x v="0"/>
    <x v="25"/>
  </r>
  <r>
    <x v="81"/>
    <x v="2"/>
    <x v="0"/>
    <x v="0"/>
    <x v="2"/>
    <x v="19"/>
    <x v="1"/>
    <x v="16"/>
    <x v="0"/>
    <x v="19"/>
    <x v="4"/>
    <x v="0"/>
    <x v="40"/>
    <x v="3"/>
    <x v="20"/>
    <x v="0"/>
    <x v="40"/>
  </r>
  <r>
    <x v="82"/>
    <x v="2"/>
    <x v="1"/>
    <x v="0"/>
    <x v="2"/>
    <x v="17"/>
    <x v="0"/>
    <x v="11"/>
    <x v="0"/>
    <x v="17"/>
    <x v="4"/>
    <x v="0"/>
    <x v="12"/>
    <x v="3"/>
    <x v="17"/>
    <x v="0"/>
    <x v="12"/>
  </r>
  <r>
    <x v="83"/>
    <x v="2"/>
    <x v="1"/>
    <x v="0"/>
    <x v="2"/>
    <x v="58"/>
    <x v="1"/>
    <x v="8"/>
    <x v="0"/>
    <x v="58"/>
    <x v="4"/>
    <x v="0"/>
    <x v="23"/>
    <x v="3"/>
    <x v="17"/>
    <x v="0"/>
    <x v="23"/>
  </r>
  <r>
    <x v="84"/>
    <x v="2"/>
    <x v="0"/>
    <x v="0"/>
    <x v="2"/>
    <x v="16"/>
    <x v="1"/>
    <x v="5"/>
    <x v="0"/>
    <x v="16"/>
    <x v="4"/>
    <x v="0"/>
    <x v="45"/>
    <x v="3"/>
    <x v="25"/>
    <x v="0"/>
    <x v="45"/>
  </r>
  <r>
    <x v="85"/>
    <x v="2"/>
    <x v="1"/>
    <x v="0"/>
    <x v="2"/>
    <x v="59"/>
    <x v="1"/>
    <x v="3"/>
    <x v="0"/>
    <x v="59"/>
    <x v="4"/>
    <x v="0"/>
    <x v="48"/>
    <x v="3"/>
    <x v="20"/>
    <x v="0"/>
    <x v="48"/>
  </r>
  <r>
    <x v="86"/>
    <x v="2"/>
    <x v="0"/>
    <x v="0"/>
    <x v="2"/>
    <x v="21"/>
    <x v="2"/>
    <x v="17"/>
    <x v="0"/>
    <x v="21"/>
    <x v="4"/>
    <x v="0"/>
    <x v="85"/>
    <x v="3"/>
    <x v="30"/>
    <x v="0"/>
    <x v="85"/>
  </r>
  <r>
    <x v="87"/>
    <x v="1"/>
    <x v="0"/>
    <x v="0"/>
    <x v="2"/>
    <x v="12"/>
    <x v="1"/>
    <x v="17"/>
    <x v="0"/>
    <x v="12"/>
    <x v="4"/>
    <x v="0"/>
    <x v="9"/>
    <x v="3"/>
    <x v="25"/>
    <x v="0"/>
    <x v="9"/>
  </r>
  <r>
    <x v="88"/>
    <x v="1"/>
    <x v="1"/>
    <x v="0"/>
    <x v="2"/>
    <x v="17"/>
    <x v="1"/>
    <x v="1"/>
    <x v="0"/>
    <x v="17"/>
    <x v="4"/>
    <x v="0"/>
    <x v="29"/>
    <x v="3"/>
    <x v="25"/>
    <x v="0"/>
    <x v="29"/>
  </r>
  <r>
    <x v="89"/>
    <x v="1"/>
    <x v="1"/>
    <x v="0"/>
    <x v="2"/>
    <x v="28"/>
    <x v="1"/>
    <x v="19"/>
    <x v="0"/>
    <x v="28"/>
    <x v="4"/>
    <x v="0"/>
    <x v="28"/>
    <x v="3"/>
    <x v="25"/>
    <x v="0"/>
    <x v="28"/>
  </r>
  <r>
    <x v="90"/>
    <x v="1"/>
    <x v="0"/>
    <x v="0"/>
    <x v="2"/>
    <x v="7"/>
    <x v="1"/>
    <x v="9"/>
    <x v="0"/>
    <x v="7"/>
    <x v="4"/>
    <x v="0"/>
    <x v="36"/>
    <x v="3"/>
    <x v="10"/>
    <x v="0"/>
    <x v="36"/>
  </r>
  <r>
    <x v="91"/>
    <x v="0"/>
    <x v="1"/>
    <x v="0"/>
    <x v="2"/>
    <x v="10"/>
    <x v="1"/>
    <x v="19"/>
    <x v="0"/>
    <x v="10"/>
    <x v="4"/>
    <x v="0"/>
    <x v="21"/>
    <x v="3"/>
    <x v="17"/>
    <x v="0"/>
    <x v="21"/>
  </r>
  <r>
    <x v="92"/>
    <x v="0"/>
    <x v="0"/>
    <x v="0"/>
    <x v="2"/>
    <x v="25"/>
    <x v="1"/>
    <x v="6"/>
    <x v="0"/>
    <x v="25"/>
    <x v="4"/>
    <x v="0"/>
    <x v="61"/>
    <x v="3"/>
    <x v="9"/>
    <x v="0"/>
    <x v="61"/>
  </r>
  <r>
    <x v="93"/>
    <x v="0"/>
    <x v="0"/>
    <x v="0"/>
    <x v="2"/>
    <x v="1"/>
    <x v="1"/>
    <x v="3"/>
    <x v="0"/>
    <x v="1"/>
    <x v="4"/>
    <x v="0"/>
    <x v="5"/>
    <x v="3"/>
    <x v="10"/>
    <x v="0"/>
    <x v="5"/>
  </r>
  <r>
    <x v="94"/>
    <x v="1"/>
    <x v="0"/>
    <x v="0"/>
    <x v="2"/>
    <x v="2"/>
    <x v="1"/>
    <x v="11"/>
    <x v="0"/>
    <x v="2"/>
    <x v="4"/>
    <x v="0"/>
    <x v="4"/>
    <x v="2"/>
    <x v="4"/>
    <x v="0"/>
    <x v="4"/>
  </r>
  <r>
    <x v="95"/>
    <x v="0"/>
    <x v="1"/>
    <x v="0"/>
    <x v="2"/>
    <x v="6"/>
    <x v="1"/>
    <x v="3"/>
    <x v="0"/>
    <x v="6"/>
    <x v="4"/>
    <x v="0"/>
    <x v="17"/>
    <x v="3"/>
    <x v="9"/>
    <x v="0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0" dataCaption="Values" itemPrintTitles="1" indent="0" outline="1" outlineData="1">
  <location ref="A3:D25" firstHeaderRow="1" firstDataRow="2" firstDataCol="1"/>
  <pivotFields count="17">
    <pivotField dataField="1" showAll="0"/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colFields count="1">
    <field x="2"/>
  </colField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6"/>
  <sheetViews>
    <sheetView tabSelected="1" topLeftCell="A47" zoomScaleNormal="100" workbookViewId="0">
      <selection activeCell="E67" sqref="E67"/>
    </sheetView>
  </sheetViews>
  <sheetFormatPr defaultColWidth="8.81640625" defaultRowHeight="14.5" x14ac:dyDescent="0.35"/>
  <cols>
    <col min="3" max="3" width="13.54296875" style="47" customWidth="1"/>
    <col min="4" max="4" width="13.54296875" customWidth="1"/>
    <col min="6" max="6" width="10.1796875" customWidth="1"/>
    <col min="8" max="10" width="14.453125" customWidth="1"/>
    <col min="11" max="11" width="9.81640625" customWidth="1"/>
    <col min="12" max="13" width="13.453125" customWidth="1"/>
    <col min="14" max="14" width="10.1796875" customWidth="1"/>
    <col min="15" max="15" width="14.54296875" customWidth="1"/>
    <col min="16" max="16" width="14.81640625" customWidth="1"/>
    <col min="17" max="17" width="80.7265625" customWidth="1"/>
    <col min="23" max="23" width="14" customWidth="1"/>
    <col min="24" max="24" width="23.54296875" customWidth="1"/>
    <col min="25" max="25" width="71.1796875" customWidth="1"/>
  </cols>
  <sheetData>
    <row r="1" spans="1:25" x14ac:dyDescent="0.35">
      <c r="A1" t="s">
        <v>0</v>
      </c>
      <c r="B1" t="s">
        <v>1</v>
      </c>
      <c r="C1" s="47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25" ht="15" thickBot="1" x14ac:dyDescent="0.4">
      <c r="A2">
        <v>1</v>
      </c>
      <c r="B2" s="1" t="s">
        <v>17</v>
      </c>
      <c r="C2" s="47" t="s">
        <v>18</v>
      </c>
      <c r="D2">
        <v>29</v>
      </c>
      <c r="E2" t="s">
        <v>19</v>
      </c>
      <c r="F2" t="s">
        <v>19</v>
      </c>
      <c r="G2">
        <v>0.32300000000000001</v>
      </c>
      <c r="H2">
        <v>2E-3</v>
      </c>
      <c r="I2">
        <f t="shared" ref="I2:I33" si="0">H2/G2*100</f>
        <v>0.61919504643962853</v>
      </c>
      <c r="K2">
        <v>3</v>
      </c>
      <c r="L2">
        <v>2.8</v>
      </c>
      <c r="M2">
        <v>3.5</v>
      </c>
      <c r="N2">
        <v>2</v>
      </c>
      <c r="O2" s="2">
        <v>44643</v>
      </c>
      <c r="P2" s="3">
        <v>0.48888888888888898</v>
      </c>
      <c r="Q2" t="s">
        <v>20</v>
      </c>
    </row>
    <row r="3" spans="1:25" ht="16" thickTop="1" x14ac:dyDescent="0.35">
      <c r="A3">
        <v>2</v>
      </c>
      <c r="B3" t="s">
        <v>21</v>
      </c>
      <c r="C3" s="47" t="s">
        <v>22</v>
      </c>
      <c r="D3">
        <v>28</v>
      </c>
      <c r="E3" t="s">
        <v>19</v>
      </c>
      <c r="F3" t="s">
        <v>19</v>
      </c>
      <c r="G3">
        <v>0.30769999999999997</v>
      </c>
      <c r="H3">
        <v>2.2000000000000001E-3</v>
      </c>
      <c r="I3">
        <f t="shared" si="0"/>
        <v>0.7149821254468639</v>
      </c>
      <c r="K3">
        <v>3</v>
      </c>
      <c r="L3">
        <v>2.2000000000000002</v>
      </c>
      <c r="M3">
        <v>2.9</v>
      </c>
      <c r="N3">
        <v>2</v>
      </c>
      <c r="O3" s="2">
        <v>44643</v>
      </c>
      <c r="P3" s="3">
        <v>0.48888888888888898</v>
      </c>
      <c r="Q3" t="s">
        <v>20</v>
      </c>
      <c r="W3" s="4" t="s">
        <v>23</v>
      </c>
      <c r="X3" s="5" t="s">
        <v>24</v>
      </c>
      <c r="Y3" s="6" t="s">
        <v>25</v>
      </c>
    </row>
    <row r="4" spans="1:25" ht="15.5" x14ac:dyDescent="0.35">
      <c r="A4">
        <v>3</v>
      </c>
      <c r="B4" t="s">
        <v>26</v>
      </c>
      <c r="C4" s="47" t="s">
        <v>27</v>
      </c>
      <c r="D4">
        <v>27</v>
      </c>
      <c r="E4" t="s">
        <v>19</v>
      </c>
      <c r="F4" t="s">
        <v>19</v>
      </c>
      <c r="G4">
        <v>0.17380000000000001</v>
      </c>
      <c r="H4">
        <v>2.9999999999999997E-4</v>
      </c>
      <c r="I4">
        <f t="shared" si="0"/>
        <v>0.17261219792865359</v>
      </c>
      <c r="K4">
        <v>2</v>
      </c>
      <c r="L4">
        <v>2.1</v>
      </c>
      <c r="M4">
        <v>2.7</v>
      </c>
      <c r="N4">
        <v>2</v>
      </c>
      <c r="O4" s="2">
        <v>44643</v>
      </c>
      <c r="P4" s="3">
        <v>0.48888888888888898</v>
      </c>
      <c r="Q4" t="s">
        <v>20</v>
      </c>
      <c r="W4" s="7"/>
      <c r="X4" s="8" t="s">
        <v>28</v>
      </c>
      <c r="Y4" s="9" t="s">
        <v>28</v>
      </c>
    </row>
    <row r="5" spans="1:25" ht="15.5" x14ac:dyDescent="0.35">
      <c r="A5">
        <v>4</v>
      </c>
      <c r="B5" t="s">
        <v>29</v>
      </c>
      <c r="C5" s="47" t="s">
        <v>30</v>
      </c>
      <c r="D5">
        <v>25</v>
      </c>
      <c r="E5" t="s">
        <v>31</v>
      </c>
      <c r="F5" t="s">
        <v>31</v>
      </c>
      <c r="G5">
        <v>0.21010000000000001</v>
      </c>
      <c r="H5">
        <v>0.03</v>
      </c>
      <c r="I5">
        <f t="shared" si="0"/>
        <v>14.278914802475009</v>
      </c>
      <c r="K5">
        <v>3</v>
      </c>
      <c r="L5">
        <v>2</v>
      </c>
      <c r="M5">
        <v>2.7</v>
      </c>
      <c r="N5">
        <v>2</v>
      </c>
      <c r="O5" s="2">
        <v>44643</v>
      </c>
      <c r="P5" s="3">
        <v>0.48888888888888898</v>
      </c>
      <c r="Q5" t="s">
        <v>20</v>
      </c>
      <c r="W5" s="7"/>
      <c r="X5" s="8" t="s">
        <v>32</v>
      </c>
      <c r="Y5" s="9" t="s">
        <v>33</v>
      </c>
    </row>
    <row r="6" spans="1:25" ht="15.5" x14ac:dyDescent="0.35">
      <c r="A6">
        <v>5</v>
      </c>
      <c r="B6" t="s">
        <v>34</v>
      </c>
      <c r="C6" s="47" t="s">
        <v>35</v>
      </c>
      <c r="D6">
        <v>23</v>
      </c>
      <c r="E6" t="s">
        <v>31</v>
      </c>
      <c r="F6" t="s">
        <v>31</v>
      </c>
      <c r="G6">
        <v>0.24340000000000001</v>
      </c>
      <c r="H6">
        <v>3.1E-2</v>
      </c>
      <c r="I6">
        <f t="shared" si="0"/>
        <v>12.736236647493836</v>
      </c>
      <c r="K6">
        <v>3</v>
      </c>
      <c r="L6">
        <v>2.2000000000000002</v>
      </c>
      <c r="M6">
        <v>2.8</v>
      </c>
      <c r="N6">
        <v>2</v>
      </c>
      <c r="O6" s="2">
        <v>44643</v>
      </c>
      <c r="P6" s="3">
        <v>0.48888888888888898</v>
      </c>
      <c r="Q6" t="s">
        <v>20</v>
      </c>
      <c r="W6" s="7"/>
      <c r="X6" s="8" t="s">
        <v>36</v>
      </c>
      <c r="Y6" s="9" t="s">
        <v>37</v>
      </c>
    </row>
    <row r="7" spans="1:25" ht="15.5" x14ac:dyDescent="0.35">
      <c r="A7">
        <v>6</v>
      </c>
      <c r="B7" t="s">
        <v>38</v>
      </c>
      <c r="C7" s="47" t="s">
        <v>39</v>
      </c>
      <c r="D7">
        <v>21</v>
      </c>
      <c r="E7" t="s">
        <v>31</v>
      </c>
      <c r="F7" t="s">
        <v>31</v>
      </c>
      <c r="G7">
        <v>0.20399999999999999</v>
      </c>
      <c r="H7">
        <v>5.8999999999999999E-3</v>
      </c>
      <c r="I7">
        <f t="shared" si="0"/>
        <v>2.892156862745098</v>
      </c>
      <c r="K7">
        <v>1</v>
      </c>
      <c r="L7">
        <v>2.2000000000000002</v>
      </c>
      <c r="M7">
        <v>2.8</v>
      </c>
      <c r="N7">
        <v>2</v>
      </c>
      <c r="O7" s="2">
        <v>44643</v>
      </c>
      <c r="P7" s="3">
        <v>0.48888888888888898</v>
      </c>
      <c r="Q7" t="s">
        <v>20</v>
      </c>
      <c r="W7" s="7"/>
      <c r="X7" s="8" t="s">
        <v>40</v>
      </c>
      <c r="Y7" s="9" t="s">
        <v>41</v>
      </c>
    </row>
    <row r="8" spans="1:25" ht="16" thickBot="1" x14ac:dyDescent="0.4">
      <c r="A8">
        <v>7</v>
      </c>
      <c r="B8" t="s">
        <v>17</v>
      </c>
      <c r="C8" s="47" t="s">
        <v>18</v>
      </c>
      <c r="D8">
        <v>29</v>
      </c>
      <c r="E8" t="s">
        <v>31</v>
      </c>
      <c r="F8" t="s">
        <v>31</v>
      </c>
      <c r="G8">
        <v>0.22070000000000001</v>
      </c>
      <c r="H8">
        <v>1.6899999999999998E-2</v>
      </c>
      <c r="I8">
        <f t="shared" si="0"/>
        <v>7.657453556864521</v>
      </c>
      <c r="K8">
        <v>2</v>
      </c>
      <c r="L8">
        <v>2.2999999999999998</v>
      </c>
      <c r="M8">
        <v>2.9</v>
      </c>
      <c r="N8">
        <v>2</v>
      </c>
      <c r="O8" s="2">
        <v>44643</v>
      </c>
      <c r="P8" s="3">
        <v>0.48888888888888898</v>
      </c>
      <c r="Q8" t="s">
        <v>20</v>
      </c>
      <c r="W8" s="10"/>
      <c r="X8" s="11" t="s">
        <v>42</v>
      </c>
      <c r="Y8" s="12"/>
    </row>
    <row r="9" spans="1:25" ht="15" thickTop="1" x14ac:dyDescent="0.35">
      <c r="A9">
        <v>8</v>
      </c>
      <c r="B9" t="s">
        <v>21</v>
      </c>
      <c r="C9" s="47" t="s">
        <v>22</v>
      </c>
      <c r="D9">
        <v>28</v>
      </c>
      <c r="E9" t="s">
        <v>31</v>
      </c>
      <c r="F9" t="s">
        <v>31</v>
      </c>
      <c r="G9">
        <f>0.2431-J9</f>
        <v>0.23280000000000001</v>
      </c>
      <c r="H9">
        <v>1.3599999999999999E-2</v>
      </c>
      <c r="I9">
        <f t="shared" si="0"/>
        <v>5.8419243986254292</v>
      </c>
      <c r="J9">
        <f>0.0239-H9</f>
        <v>1.0300000000000002E-2</v>
      </c>
      <c r="K9">
        <v>2</v>
      </c>
      <c r="L9">
        <v>2.2000000000000002</v>
      </c>
      <c r="M9">
        <v>2.8</v>
      </c>
      <c r="N9">
        <v>2</v>
      </c>
      <c r="O9" s="2">
        <v>44643</v>
      </c>
      <c r="P9" s="3">
        <v>0.55208333333333304</v>
      </c>
      <c r="Q9" t="s">
        <v>43</v>
      </c>
    </row>
    <row r="10" spans="1:25" x14ac:dyDescent="0.35">
      <c r="A10">
        <v>9</v>
      </c>
      <c r="B10" t="s">
        <v>26</v>
      </c>
      <c r="C10" s="47" t="s">
        <v>27</v>
      </c>
      <c r="D10">
        <v>27</v>
      </c>
      <c r="E10" t="s">
        <v>31</v>
      </c>
      <c r="F10" t="s">
        <v>31</v>
      </c>
      <c r="G10">
        <v>0.35070000000000001</v>
      </c>
      <c r="H10">
        <v>1E-3</v>
      </c>
      <c r="I10">
        <f t="shared" si="0"/>
        <v>0.28514399771884802</v>
      </c>
      <c r="K10">
        <v>1</v>
      </c>
      <c r="L10">
        <v>2.5</v>
      </c>
      <c r="M10">
        <v>3.2</v>
      </c>
      <c r="N10">
        <v>2</v>
      </c>
      <c r="O10" s="2">
        <v>44643</v>
      </c>
      <c r="P10" s="3">
        <v>0.55972222222222201</v>
      </c>
      <c r="Q10" t="s">
        <v>44</v>
      </c>
    </row>
    <row r="11" spans="1:25" x14ac:dyDescent="0.35">
      <c r="A11">
        <v>10</v>
      </c>
      <c r="B11" t="s">
        <v>29</v>
      </c>
      <c r="C11" s="47" t="s">
        <v>30</v>
      </c>
      <c r="D11">
        <v>25</v>
      </c>
      <c r="E11" t="s">
        <v>19</v>
      </c>
      <c r="F11" t="s">
        <v>19</v>
      </c>
      <c r="G11">
        <v>0.22470000000000001</v>
      </c>
      <c r="H11">
        <v>5.0000000000000001E-4</v>
      </c>
      <c r="I11">
        <f t="shared" si="0"/>
        <v>0.22251891410769914</v>
      </c>
      <c r="K11">
        <v>2</v>
      </c>
      <c r="L11">
        <v>2.4</v>
      </c>
      <c r="M11">
        <v>3</v>
      </c>
      <c r="N11">
        <v>2</v>
      </c>
      <c r="O11" s="2">
        <v>44643</v>
      </c>
      <c r="P11" s="3">
        <v>0.55972222222222201</v>
      </c>
      <c r="Q11" t="s">
        <v>20</v>
      </c>
    </row>
    <row r="12" spans="1:25" x14ac:dyDescent="0.35">
      <c r="A12">
        <v>11</v>
      </c>
      <c r="B12" t="s">
        <v>29</v>
      </c>
      <c r="C12" s="47" t="s">
        <v>30</v>
      </c>
      <c r="D12">
        <v>25</v>
      </c>
      <c r="E12" t="s">
        <v>31</v>
      </c>
      <c r="F12" t="s">
        <v>31</v>
      </c>
      <c r="G12">
        <v>0.20380000000000001</v>
      </c>
      <c r="H12">
        <v>1.4999999999999999E-2</v>
      </c>
      <c r="I12">
        <f t="shared" si="0"/>
        <v>7.3601570166830221</v>
      </c>
      <c r="K12">
        <v>2</v>
      </c>
      <c r="L12">
        <v>2.2000000000000002</v>
      </c>
      <c r="M12">
        <v>2.7</v>
      </c>
      <c r="N12">
        <v>2</v>
      </c>
      <c r="O12" s="2">
        <v>44643</v>
      </c>
      <c r="P12" s="3">
        <v>0.55972222222222201</v>
      </c>
      <c r="Q12" t="s">
        <v>20</v>
      </c>
    </row>
    <row r="13" spans="1:25" x14ac:dyDescent="0.35">
      <c r="A13">
        <v>12</v>
      </c>
      <c r="B13" t="s">
        <v>34</v>
      </c>
      <c r="C13" s="47" t="s">
        <v>35</v>
      </c>
      <c r="D13">
        <v>23</v>
      </c>
      <c r="E13" t="s">
        <v>31</v>
      </c>
      <c r="F13" t="s">
        <v>31</v>
      </c>
      <c r="G13">
        <v>0.28089999999999998</v>
      </c>
      <c r="H13">
        <v>2.3199999999999998E-2</v>
      </c>
      <c r="I13">
        <f t="shared" si="0"/>
        <v>8.2591669633321469</v>
      </c>
      <c r="K13">
        <v>3</v>
      </c>
      <c r="L13">
        <v>2.5</v>
      </c>
      <c r="M13">
        <v>3.1</v>
      </c>
      <c r="N13">
        <v>2</v>
      </c>
      <c r="O13" s="2">
        <v>44643</v>
      </c>
      <c r="P13" s="3">
        <v>0.55972222222222201</v>
      </c>
      <c r="Q13" t="s">
        <v>20</v>
      </c>
    </row>
    <row r="14" spans="1:25" x14ac:dyDescent="0.35">
      <c r="A14">
        <v>13</v>
      </c>
      <c r="B14" t="s">
        <v>34</v>
      </c>
      <c r="C14" s="47" t="s">
        <v>35</v>
      </c>
      <c r="D14">
        <v>23</v>
      </c>
      <c r="E14" t="s">
        <v>31</v>
      </c>
      <c r="F14" t="s">
        <v>31</v>
      </c>
      <c r="G14">
        <v>0.25390000000000001</v>
      </c>
      <c r="H14">
        <v>1.24E-2</v>
      </c>
      <c r="I14">
        <f t="shared" si="0"/>
        <v>4.8838125246159905</v>
      </c>
      <c r="K14">
        <v>2</v>
      </c>
      <c r="L14">
        <v>2.4</v>
      </c>
      <c r="M14">
        <v>2.9</v>
      </c>
      <c r="N14">
        <v>2</v>
      </c>
      <c r="O14" s="2">
        <v>44643</v>
      </c>
      <c r="P14" s="3">
        <v>0.55972222222222201</v>
      </c>
      <c r="Q14" t="s">
        <v>45</v>
      </c>
    </row>
    <row r="15" spans="1:25" x14ac:dyDescent="0.35">
      <c r="A15">
        <v>14</v>
      </c>
      <c r="B15" t="s">
        <v>38</v>
      </c>
      <c r="C15" s="47" t="s">
        <v>39</v>
      </c>
      <c r="D15">
        <v>21</v>
      </c>
      <c r="E15" t="s">
        <v>19</v>
      </c>
      <c r="F15" t="s">
        <v>19</v>
      </c>
      <c r="G15">
        <v>0.2054</v>
      </c>
      <c r="H15">
        <v>1E-3</v>
      </c>
      <c r="I15">
        <f t="shared" si="0"/>
        <v>0.48685491723466412</v>
      </c>
      <c r="K15">
        <v>2.5</v>
      </c>
      <c r="L15">
        <v>2.4</v>
      </c>
      <c r="M15">
        <v>2.9</v>
      </c>
      <c r="N15">
        <v>2</v>
      </c>
      <c r="O15" s="2">
        <v>44643</v>
      </c>
      <c r="P15" s="3">
        <v>0.55972222222222201</v>
      </c>
      <c r="Q15" t="s">
        <v>46</v>
      </c>
    </row>
    <row r="16" spans="1:25" x14ac:dyDescent="0.35">
      <c r="A16">
        <v>15</v>
      </c>
      <c r="B16" t="s">
        <v>38</v>
      </c>
      <c r="C16" s="47" t="s">
        <v>39</v>
      </c>
      <c r="D16">
        <v>21</v>
      </c>
      <c r="E16" t="s">
        <v>31</v>
      </c>
      <c r="F16" t="s">
        <v>31</v>
      </c>
      <c r="G16">
        <v>0.22639999999999999</v>
      </c>
      <c r="H16">
        <v>1.3299999999999999E-2</v>
      </c>
      <c r="I16">
        <f t="shared" si="0"/>
        <v>5.8745583038869258</v>
      </c>
      <c r="K16">
        <v>2</v>
      </c>
      <c r="L16">
        <v>2.2000000000000002</v>
      </c>
      <c r="M16">
        <v>2.8</v>
      </c>
      <c r="N16">
        <v>2</v>
      </c>
      <c r="O16" s="2">
        <v>44643</v>
      </c>
      <c r="P16" s="3">
        <v>0.55972222222222201</v>
      </c>
    </row>
    <row r="17" spans="1:17" x14ac:dyDescent="0.35">
      <c r="A17">
        <v>16</v>
      </c>
      <c r="B17" t="s">
        <v>17</v>
      </c>
      <c r="C17" s="47" t="s">
        <v>18</v>
      </c>
      <c r="D17">
        <v>29</v>
      </c>
      <c r="E17" t="s">
        <v>31</v>
      </c>
      <c r="F17" t="s">
        <v>31</v>
      </c>
      <c r="G17">
        <v>0.2177</v>
      </c>
      <c r="H17">
        <v>5.7000000000000002E-3</v>
      </c>
      <c r="I17">
        <f t="shared" si="0"/>
        <v>2.6182820395039044</v>
      </c>
      <c r="K17">
        <v>1</v>
      </c>
      <c r="L17">
        <v>2.2000000000000002</v>
      </c>
      <c r="M17">
        <v>2.7</v>
      </c>
      <c r="N17">
        <v>2</v>
      </c>
      <c r="O17" s="2">
        <v>44643</v>
      </c>
      <c r="P17" s="3">
        <v>0.55972222222222201</v>
      </c>
      <c r="Q17" t="s">
        <v>47</v>
      </c>
    </row>
    <row r="18" spans="1:17" x14ac:dyDescent="0.35">
      <c r="A18">
        <v>17</v>
      </c>
      <c r="B18" t="s">
        <v>26</v>
      </c>
      <c r="C18" s="47" t="s">
        <v>27</v>
      </c>
      <c r="D18">
        <v>27</v>
      </c>
      <c r="E18" t="s">
        <v>19</v>
      </c>
      <c r="F18" t="s">
        <v>31</v>
      </c>
      <c r="G18">
        <v>0.17599999999999999</v>
      </c>
      <c r="H18">
        <v>8.9999999999999993E-3</v>
      </c>
      <c r="I18">
        <f t="shared" si="0"/>
        <v>5.1136363636363633</v>
      </c>
      <c r="K18">
        <v>1</v>
      </c>
      <c r="L18">
        <v>2.2000000000000002</v>
      </c>
      <c r="M18">
        <v>2.8</v>
      </c>
      <c r="N18">
        <v>2</v>
      </c>
      <c r="O18" s="2">
        <v>44643</v>
      </c>
      <c r="P18" s="3">
        <v>0.55972222222222201</v>
      </c>
      <c r="Q18" t="s">
        <v>48</v>
      </c>
    </row>
    <row r="19" spans="1:17" x14ac:dyDescent="0.35">
      <c r="A19">
        <v>18</v>
      </c>
      <c r="B19" t="s">
        <v>26</v>
      </c>
      <c r="C19" s="47" t="s">
        <v>27</v>
      </c>
      <c r="D19">
        <v>27</v>
      </c>
      <c r="E19" t="s">
        <v>19</v>
      </c>
      <c r="F19" t="s">
        <v>19</v>
      </c>
      <c r="G19">
        <v>0.2175</v>
      </c>
      <c r="H19">
        <v>1.1000000000000001E-3</v>
      </c>
      <c r="I19">
        <f t="shared" si="0"/>
        <v>0.50574712643678166</v>
      </c>
      <c r="K19">
        <v>3</v>
      </c>
      <c r="L19">
        <v>2.2999999999999998</v>
      </c>
      <c r="M19">
        <v>2.9</v>
      </c>
      <c r="N19">
        <v>2</v>
      </c>
      <c r="O19" s="2">
        <v>44643</v>
      </c>
      <c r="P19" s="3">
        <v>0.55972222222222201</v>
      </c>
    </row>
    <row r="20" spans="1:17" x14ac:dyDescent="0.35">
      <c r="A20">
        <v>19</v>
      </c>
      <c r="B20" t="s">
        <v>21</v>
      </c>
      <c r="C20" s="47" t="s">
        <v>22</v>
      </c>
      <c r="D20">
        <v>28</v>
      </c>
      <c r="E20" t="s">
        <v>31</v>
      </c>
      <c r="F20" t="s">
        <v>31</v>
      </c>
      <c r="G20">
        <v>0.13450000000000001</v>
      </c>
      <c r="H20">
        <v>4.1999999999999997E-3</v>
      </c>
      <c r="I20">
        <f t="shared" si="0"/>
        <v>3.12267657992565</v>
      </c>
      <c r="K20">
        <v>1</v>
      </c>
      <c r="L20">
        <v>2</v>
      </c>
      <c r="M20">
        <v>2.5</v>
      </c>
      <c r="N20">
        <v>2</v>
      </c>
      <c r="O20" s="2">
        <v>44643</v>
      </c>
      <c r="P20" s="3">
        <v>0.55972222222222201</v>
      </c>
      <c r="Q20" t="s">
        <v>49</v>
      </c>
    </row>
    <row r="21" spans="1:17" x14ac:dyDescent="0.35">
      <c r="A21">
        <v>20</v>
      </c>
      <c r="B21" t="s">
        <v>21</v>
      </c>
      <c r="C21" s="47" t="s">
        <v>22</v>
      </c>
      <c r="D21">
        <v>28</v>
      </c>
      <c r="E21" t="s">
        <v>19</v>
      </c>
      <c r="F21" t="s">
        <v>19</v>
      </c>
      <c r="G21">
        <v>0.26719999999999999</v>
      </c>
      <c r="H21">
        <v>1E-3</v>
      </c>
      <c r="I21">
        <f t="shared" si="0"/>
        <v>0.37425149700598803</v>
      </c>
      <c r="K21">
        <v>2</v>
      </c>
      <c r="L21">
        <v>2.2999999999999998</v>
      </c>
      <c r="M21">
        <v>2.9</v>
      </c>
      <c r="N21">
        <v>2</v>
      </c>
      <c r="O21" s="2">
        <v>44643</v>
      </c>
      <c r="P21" s="3">
        <v>0.55972222222222201</v>
      </c>
      <c r="Q21" t="s">
        <v>50</v>
      </c>
    </row>
    <row r="22" spans="1:17" x14ac:dyDescent="0.35">
      <c r="A22">
        <v>21</v>
      </c>
      <c r="B22" t="s">
        <v>38</v>
      </c>
      <c r="C22" s="47" t="s">
        <v>39</v>
      </c>
      <c r="D22">
        <v>21</v>
      </c>
      <c r="E22" t="s">
        <v>31</v>
      </c>
      <c r="F22" t="s">
        <v>31</v>
      </c>
      <c r="G22">
        <v>0.20319999999999999</v>
      </c>
      <c r="I22">
        <f t="shared" si="0"/>
        <v>0</v>
      </c>
      <c r="K22">
        <v>0</v>
      </c>
      <c r="L22">
        <v>2.1</v>
      </c>
      <c r="M22">
        <v>2.7</v>
      </c>
      <c r="N22">
        <v>2</v>
      </c>
      <c r="O22" s="2">
        <v>44643</v>
      </c>
      <c r="P22" s="3">
        <v>0.55972222222222201</v>
      </c>
      <c r="Q22" t="s">
        <v>51</v>
      </c>
    </row>
    <row r="23" spans="1:17" x14ac:dyDescent="0.35">
      <c r="A23">
        <v>22</v>
      </c>
      <c r="B23" t="s">
        <v>38</v>
      </c>
      <c r="C23" s="47" t="s">
        <v>39</v>
      </c>
      <c r="D23">
        <v>21</v>
      </c>
      <c r="E23" t="s">
        <v>19</v>
      </c>
      <c r="F23" t="s">
        <v>19</v>
      </c>
      <c r="G23">
        <v>0.1084</v>
      </c>
      <c r="I23">
        <f t="shared" si="0"/>
        <v>0</v>
      </c>
      <c r="K23">
        <v>1</v>
      </c>
      <c r="L23">
        <v>1.8</v>
      </c>
      <c r="M23">
        <v>2.2999999999999998</v>
      </c>
      <c r="N23">
        <v>2</v>
      </c>
      <c r="O23" s="2">
        <v>44643</v>
      </c>
      <c r="P23" s="3">
        <v>0.69166666666666698</v>
      </c>
    </row>
    <row r="24" spans="1:17" x14ac:dyDescent="0.35">
      <c r="A24">
        <v>23</v>
      </c>
      <c r="B24" t="s">
        <v>52</v>
      </c>
      <c r="C24" s="47" t="s">
        <v>53</v>
      </c>
      <c r="D24">
        <v>19</v>
      </c>
      <c r="E24" t="s">
        <v>31</v>
      </c>
      <c r="F24" t="s">
        <v>31</v>
      </c>
      <c r="G24">
        <v>0.2356</v>
      </c>
      <c r="H24">
        <v>2.9999999999999997E-4</v>
      </c>
      <c r="I24">
        <f t="shared" si="0"/>
        <v>0.12733446519524616</v>
      </c>
      <c r="K24">
        <v>1</v>
      </c>
      <c r="L24">
        <v>2.2999999999999998</v>
      </c>
      <c r="M24">
        <v>2.9</v>
      </c>
      <c r="N24">
        <v>2</v>
      </c>
      <c r="O24" s="2">
        <v>44643</v>
      </c>
      <c r="P24" s="3">
        <v>0.69166666666666698</v>
      </c>
      <c r="Q24" t="s">
        <v>54</v>
      </c>
    </row>
    <row r="25" spans="1:17" x14ac:dyDescent="0.35">
      <c r="A25">
        <v>24</v>
      </c>
      <c r="B25" t="s">
        <v>52</v>
      </c>
      <c r="C25" s="47" t="s">
        <v>53</v>
      </c>
      <c r="D25">
        <v>19</v>
      </c>
      <c r="E25" t="s">
        <v>31</v>
      </c>
      <c r="F25" t="s">
        <v>31</v>
      </c>
      <c r="G25">
        <v>0.21909999999999999</v>
      </c>
      <c r="H25">
        <v>7.1000000000000004E-3</v>
      </c>
      <c r="I25">
        <f t="shared" si="0"/>
        <v>3.2405294386125063</v>
      </c>
      <c r="K25">
        <v>2</v>
      </c>
      <c r="L25">
        <v>2.4</v>
      </c>
      <c r="M25">
        <v>3</v>
      </c>
      <c r="N25">
        <v>2</v>
      </c>
      <c r="O25" s="2">
        <v>44643</v>
      </c>
      <c r="P25" s="3">
        <v>0.69166666666666698</v>
      </c>
    </row>
    <row r="26" spans="1:17" x14ac:dyDescent="0.35">
      <c r="A26">
        <v>25</v>
      </c>
      <c r="B26" t="s">
        <v>55</v>
      </c>
      <c r="C26" s="47" t="s">
        <v>56</v>
      </c>
      <c r="D26">
        <v>17</v>
      </c>
      <c r="E26" t="s">
        <v>19</v>
      </c>
      <c r="F26" t="s">
        <v>19</v>
      </c>
      <c r="G26">
        <v>0.19489999999999999</v>
      </c>
      <c r="H26">
        <v>8.9999999999999998E-4</v>
      </c>
      <c r="I26">
        <f t="shared" si="0"/>
        <v>0.46177526936890717</v>
      </c>
      <c r="K26">
        <v>3</v>
      </c>
      <c r="L26">
        <v>2.1</v>
      </c>
      <c r="M26">
        <v>2.7</v>
      </c>
      <c r="N26">
        <v>2</v>
      </c>
      <c r="O26" s="2">
        <v>44643</v>
      </c>
      <c r="P26" s="3">
        <v>0.69166666666666698</v>
      </c>
    </row>
    <row r="27" spans="1:17" x14ac:dyDescent="0.35">
      <c r="A27">
        <v>26</v>
      </c>
      <c r="B27" t="s">
        <v>55</v>
      </c>
      <c r="C27" s="47" t="s">
        <v>56</v>
      </c>
      <c r="D27">
        <v>17</v>
      </c>
      <c r="E27" t="s">
        <v>31</v>
      </c>
      <c r="F27" t="s">
        <v>31</v>
      </c>
      <c r="G27">
        <v>0.17199999999999999</v>
      </c>
      <c r="H27">
        <v>7.4000000000000003E-3</v>
      </c>
      <c r="I27">
        <f t="shared" si="0"/>
        <v>4.3023255813953494</v>
      </c>
      <c r="K27">
        <v>2</v>
      </c>
      <c r="L27">
        <v>2.1</v>
      </c>
      <c r="M27">
        <v>2.6</v>
      </c>
      <c r="N27">
        <v>2</v>
      </c>
      <c r="O27" s="2">
        <v>44643</v>
      </c>
      <c r="P27" s="3">
        <v>0.69166666666666698</v>
      </c>
      <c r="Q27" t="s">
        <v>57</v>
      </c>
    </row>
    <row r="28" spans="1:17" x14ac:dyDescent="0.35">
      <c r="A28">
        <v>27</v>
      </c>
      <c r="B28" t="s">
        <v>52</v>
      </c>
      <c r="C28" s="47" t="s">
        <v>53</v>
      </c>
      <c r="D28">
        <v>19</v>
      </c>
      <c r="E28" t="s">
        <v>19</v>
      </c>
      <c r="F28" t="s">
        <v>19</v>
      </c>
      <c r="G28">
        <v>0.1653</v>
      </c>
      <c r="H28">
        <v>8.9999999999999998E-4</v>
      </c>
      <c r="I28">
        <f t="shared" si="0"/>
        <v>0.54446460980036293</v>
      </c>
      <c r="K28">
        <v>2</v>
      </c>
      <c r="L28">
        <v>2</v>
      </c>
      <c r="M28">
        <v>2.5</v>
      </c>
      <c r="N28">
        <v>2</v>
      </c>
      <c r="O28" s="2">
        <v>44643</v>
      </c>
      <c r="P28" s="3">
        <v>0.69166666666666698</v>
      </c>
      <c r="Q28" t="s">
        <v>58</v>
      </c>
    </row>
    <row r="29" spans="1:17" x14ac:dyDescent="0.35">
      <c r="A29">
        <v>28</v>
      </c>
      <c r="B29" t="s">
        <v>52</v>
      </c>
      <c r="C29" s="47" t="s">
        <v>53</v>
      </c>
      <c r="D29">
        <v>19</v>
      </c>
      <c r="E29" t="s">
        <v>31</v>
      </c>
      <c r="F29" t="s">
        <v>31</v>
      </c>
      <c r="G29">
        <v>0.1709</v>
      </c>
      <c r="H29">
        <v>2.2000000000000001E-3</v>
      </c>
      <c r="I29">
        <f t="shared" si="0"/>
        <v>1.2873025160912817</v>
      </c>
      <c r="K29">
        <v>1</v>
      </c>
      <c r="L29">
        <v>2.2000000000000002</v>
      </c>
      <c r="M29">
        <v>2.8</v>
      </c>
      <c r="N29">
        <v>2</v>
      </c>
      <c r="O29" s="2">
        <v>44643</v>
      </c>
      <c r="P29" s="3">
        <v>0.69166666666666698</v>
      </c>
    </row>
    <row r="30" spans="1:17" x14ac:dyDescent="0.35">
      <c r="A30">
        <v>29</v>
      </c>
      <c r="B30" t="s">
        <v>55</v>
      </c>
      <c r="C30" s="47" t="s">
        <v>56</v>
      </c>
      <c r="D30">
        <v>17</v>
      </c>
      <c r="E30" t="s">
        <v>19</v>
      </c>
      <c r="F30" t="s">
        <v>19</v>
      </c>
      <c r="G30">
        <v>0.1123</v>
      </c>
      <c r="I30">
        <f t="shared" si="0"/>
        <v>0</v>
      </c>
      <c r="K30">
        <v>1</v>
      </c>
      <c r="L30">
        <v>2</v>
      </c>
      <c r="M30">
        <v>2.5</v>
      </c>
      <c r="N30">
        <v>1</v>
      </c>
      <c r="O30" s="2">
        <v>44643</v>
      </c>
      <c r="P30" s="3">
        <v>0.69166666666666698</v>
      </c>
    </row>
    <row r="31" spans="1:17" x14ac:dyDescent="0.35">
      <c r="A31">
        <v>30</v>
      </c>
      <c r="B31" t="s">
        <v>55</v>
      </c>
      <c r="C31" s="47" t="s">
        <v>56</v>
      </c>
      <c r="D31">
        <v>17</v>
      </c>
      <c r="E31" t="s">
        <v>31</v>
      </c>
      <c r="F31" t="s">
        <v>31</v>
      </c>
      <c r="G31">
        <v>0.17680000000000001</v>
      </c>
      <c r="H31">
        <v>8.8999999999999999E-3</v>
      </c>
      <c r="I31">
        <f t="shared" si="0"/>
        <v>5.0339366515837103</v>
      </c>
      <c r="K31">
        <v>2</v>
      </c>
      <c r="L31">
        <v>2</v>
      </c>
      <c r="M31">
        <v>2.6</v>
      </c>
      <c r="N31">
        <v>2</v>
      </c>
      <c r="O31" s="2">
        <v>44643</v>
      </c>
      <c r="P31" s="3">
        <v>0.69166666666666698</v>
      </c>
    </row>
    <row r="32" spans="1:17" x14ac:dyDescent="0.35">
      <c r="A32">
        <v>31</v>
      </c>
      <c r="B32" t="s">
        <v>52</v>
      </c>
      <c r="C32" s="47" t="s">
        <v>53</v>
      </c>
      <c r="D32">
        <v>19</v>
      </c>
      <c r="E32" t="s">
        <v>19</v>
      </c>
      <c r="F32" t="s">
        <v>19</v>
      </c>
      <c r="G32">
        <v>0.1772</v>
      </c>
      <c r="H32">
        <v>8.0000000000000004E-4</v>
      </c>
      <c r="I32">
        <f t="shared" si="0"/>
        <v>0.45146726862302489</v>
      </c>
      <c r="K32">
        <v>3</v>
      </c>
      <c r="L32">
        <v>2.2999999999999998</v>
      </c>
      <c r="M32">
        <v>2.8</v>
      </c>
      <c r="N32">
        <v>2</v>
      </c>
      <c r="O32" s="2">
        <v>44643</v>
      </c>
      <c r="P32" s="3">
        <v>0.69166666666666698</v>
      </c>
    </row>
    <row r="33" spans="1:17" x14ac:dyDescent="0.35">
      <c r="A33">
        <v>32</v>
      </c>
      <c r="B33" t="s">
        <v>52</v>
      </c>
      <c r="C33" s="47" t="s">
        <v>53</v>
      </c>
      <c r="D33">
        <v>19</v>
      </c>
      <c r="E33" t="s">
        <v>31</v>
      </c>
      <c r="F33" t="s">
        <v>31</v>
      </c>
      <c r="G33">
        <v>0.26729999999999998</v>
      </c>
      <c r="H33">
        <v>1.52E-2</v>
      </c>
      <c r="I33">
        <f t="shared" si="0"/>
        <v>5.686494575383465</v>
      </c>
      <c r="K33">
        <v>3</v>
      </c>
      <c r="L33">
        <v>2.6</v>
      </c>
      <c r="M33">
        <v>3.2</v>
      </c>
      <c r="N33">
        <v>2</v>
      </c>
      <c r="O33" s="2">
        <v>44643</v>
      </c>
      <c r="P33" s="3">
        <v>0.69166666666666698</v>
      </c>
      <c r="Q33" t="s">
        <v>59</v>
      </c>
    </row>
    <row r="34" spans="1:17" x14ac:dyDescent="0.35">
      <c r="A34">
        <v>33</v>
      </c>
      <c r="B34" t="s">
        <v>55</v>
      </c>
      <c r="C34" s="47" t="s">
        <v>56</v>
      </c>
      <c r="D34">
        <v>17</v>
      </c>
      <c r="E34" t="s">
        <v>19</v>
      </c>
      <c r="F34" t="s">
        <v>19</v>
      </c>
      <c r="G34">
        <v>0.21659999999999999</v>
      </c>
      <c r="H34">
        <v>1.8E-3</v>
      </c>
      <c r="I34">
        <f t="shared" ref="I34:I65" si="1">H34/G34*100</f>
        <v>0.8310249307479225</v>
      </c>
      <c r="K34">
        <v>3</v>
      </c>
      <c r="L34">
        <v>2.4</v>
      </c>
      <c r="M34">
        <v>3</v>
      </c>
      <c r="N34">
        <v>2</v>
      </c>
      <c r="O34" s="2">
        <v>44643</v>
      </c>
      <c r="P34" s="3">
        <v>0.69166666666666698</v>
      </c>
    </row>
    <row r="35" spans="1:17" x14ac:dyDescent="0.35">
      <c r="A35">
        <v>34</v>
      </c>
      <c r="B35" t="s">
        <v>55</v>
      </c>
      <c r="C35" s="47" t="s">
        <v>56</v>
      </c>
      <c r="D35">
        <v>17</v>
      </c>
      <c r="E35" t="s">
        <v>19</v>
      </c>
      <c r="F35" t="s">
        <v>19</v>
      </c>
      <c r="G35">
        <v>0.15390000000000001</v>
      </c>
      <c r="H35">
        <v>1E-4</v>
      </c>
      <c r="I35">
        <f t="shared" si="1"/>
        <v>6.4977257959714096E-2</v>
      </c>
      <c r="K35">
        <v>2</v>
      </c>
      <c r="L35">
        <v>2.2000000000000002</v>
      </c>
      <c r="M35">
        <v>2.7</v>
      </c>
      <c r="N35">
        <v>2</v>
      </c>
      <c r="O35" s="2">
        <v>44643</v>
      </c>
      <c r="P35" s="3">
        <v>0.69166666666666698</v>
      </c>
      <c r="Q35" t="s">
        <v>60</v>
      </c>
    </row>
    <row r="36" spans="1:17" x14ac:dyDescent="0.35">
      <c r="A36">
        <v>35</v>
      </c>
      <c r="B36" t="s">
        <v>55</v>
      </c>
      <c r="C36" s="47" t="s">
        <v>56</v>
      </c>
      <c r="D36">
        <v>17</v>
      </c>
      <c r="E36" t="s">
        <v>19</v>
      </c>
      <c r="F36" t="s">
        <v>19</v>
      </c>
      <c r="G36">
        <v>0.2452</v>
      </c>
      <c r="H36">
        <v>1.5E-3</v>
      </c>
      <c r="I36">
        <f t="shared" si="1"/>
        <v>0.61174551386623166</v>
      </c>
      <c r="K36">
        <v>3</v>
      </c>
      <c r="L36">
        <v>2.2999999999999998</v>
      </c>
      <c r="M36">
        <v>2.9</v>
      </c>
      <c r="N36">
        <v>2</v>
      </c>
      <c r="O36" s="2">
        <v>44643</v>
      </c>
      <c r="P36" s="3">
        <v>0.69166666666666698</v>
      </c>
    </row>
    <row r="37" spans="1:17" x14ac:dyDescent="0.35">
      <c r="A37">
        <v>36</v>
      </c>
      <c r="B37" t="s">
        <v>61</v>
      </c>
      <c r="C37" s="47" t="s">
        <v>62</v>
      </c>
      <c r="D37">
        <v>16</v>
      </c>
      <c r="E37" t="s">
        <v>19</v>
      </c>
      <c r="F37" t="s">
        <v>19</v>
      </c>
      <c r="G37">
        <v>0.14860000000000001</v>
      </c>
      <c r="H37">
        <v>5.9999999999999995E-4</v>
      </c>
      <c r="I37">
        <f t="shared" si="1"/>
        <v>0.40376850605652753</v>
      </c>
      <c r="K37">
        <v>3</v>
      </c>
      <c r="L37">
        <v>2</v>
      </c>
      <c r="M37">
        <v>2.5</v>
      </c>
      <c r="N37">
        <v>2</v>
      </c>
      <c r="O37" s="2">
        <v>44644</v>
      </c>
      <c r="P37" s="3">
        <v>0.46180555555555602</v>
      </c>
    </row>
    <row r="38" spans="1:17" x14ac:dyDescent="0.35">
      <c r="A38">
        <v>37</v>
      </c>
      <c r="B38" t="s">
        <v>61</v>
      </c>
      <c r="C38" s="47" t="s">
        <v>62</v>
      </c>
      <c r="D38">
        <v>16</v>
      </c>
      <c r="E38" t="s">
        <v>31</v>
      </c>
      <c r="F38" t="s">
        <v>31</v>
      </c>
      <c r="G38">
        <v>0.1787</v>
      </c>
      <c r="H38">
        <v>9.4000000000000004E-3</v>
      </c>
      <c r="I38">
        <f t="shared" si="1"/>
        <v>5.2602126468942361</v>
      </c>
      <c r="K38">
        <v>2</v>
      </c>
      <c r="L38">
        <v>2.2000000000000002</v>
      </c>
      <c r="M38">
        <v>2.7</v>
      </c>
      <c r="N38">
        <v>2</v>
      </c>
      <c r="O38" s="2">
        <v>44644</v>
      </c>
      <c r="P38" s="3">
        <v>0.469444444444445</v>
      </c>
    </row>
    <row r="39" spans="1:17" x14ac:dyDescent="0.35">
      <c r="A39">
        <v>38</v>
      </c>
      <c r="B39" t="s">
        <v>63</v>
      </c>
      <c r="C39" s="47" t="s">
        <v>64</v>
      </c>
      <c r="D39">
        <v>15</v>
      </c>
      <c r="E39" t="s">
        <v>31</v>
      </c>
      <c r="F39" t="s">
        <v>31</v>
      </c>
      <c r="G39">
        <v>0.2215</v>
      </c>
      <c r="H39">
        <v>1.7000000000000001E-2</v>
      </c>
      <c r="I39">
        <f t="shared" si="1"/>
        <v>7.6749435665914234</v>
      </c>
      <c r="K39">
        <v>2</v>
      </c>
      <c r="L39">
        <v>2.2999999999999998</v>
      </c>
      <c r="M39">
        <v>2.9</v>
      </c>
      <c r="N39">
        <v>2</v>
      </c>
      <c r="O39" s="2">
        <v>44644</v>
      </c>
      <c r="P39" s="3">
        <v>0.47708333333333303</v>
      </c>
    </row>
    <row r="40" spans="1:17" x14ac:dyDescent="0.35">
      <c r="A40">
        <v>39</v>
      </c>
      <c r="B40" t="s">
        <v>63</v>
      </c>
      <c r="C40" s="47" t="s">
        <v>64</v>
      </c>
      <c r="D40">
        <v>15</v>
      </c>
      <c r="E40" t="s">
        <v>31</v>
      </c>
      <c r="F40" t="s">
        <v>31</v>
      </c>
      <c r="G40">
        <v>0.2364</v>
      </c>
      <c r="H40">
        <v>3.44E-2</v>
      </c>
      <c r="I40">
        <f t="shared" si="1"/>
        <v>14.551607445008461</v>
      </c>
      <c r="K40">
        <v>3</v>
      </c>
      <c r="L40">
        <v>2.2000000000000002</v>
      </c>
      <c r="M40">
        <v>2.7</v>
      </c>
      <c r="N40">
        <v>2</v>
      </c>
      <c r="O40" s="2">
        <v>44644</v>
      </c>
      <c r="P40" s="3">
        <v>0.484027777777778</v>
      </c>
      <c r="Q40" t="s">
        <v>65</v>
      </c>
    </row>
    <row r="41" spans="1:17" x14ac:dyDescent="0.35">
      <c r="A41">
        <v>40</v>
      </c>
      <c r="B41" t="s">
        <v>66</v>
      </c>
      <c r="C41" s="47" t="s">
        <v>67</v>
      </c>
      <c r="D41">
        <v>14</v>
      </c>
      <c r="E41" t="s">
        <v>19</v>
      </c>
      <c r="F41" t="s">
        <v>19</v>
      </c>
      <c r="G41">
        <v>0.114</v>
      </c>
      <c r="H41">
        <v>5.0000000000000001E-4</v>
      </c>
      <c r="I41">
        <f t="shared" si="1"/>
        <v>0.43859649122807015</v>
      </c>
      <c r="K41">
        <v>2</v>
      </c>
      <c r="L41">
        <v>2</v>
      </c>
      <c r="M41">
        <v>2.5</v>
      </c>
      <c r="N41">
        <v>2</v>
      </c>
      <c r="O41" s="2">
        <v>44644</v>
      </c>
      <c r="P41" s="3">
        <v>0.49097222222222198</v>
      </c>
      <c r="Q41" t="s">
        <v>68</v>
      </c>
    </row>
    <row r="42" spans="1:17" x14ac:dyDescent="0.35">
      <c r="A42">
        <v>41</v>
      </c>
      <c r="B42" t="s">
        <v>66</v>
      </c>
      <c r="C42" s="47" t="s">
        <v>67</v>
      </c>
      <c r="D42">
        <v>14</v>
      </c>
      <c r="E42" t="s">
        <v>19</v>
      </c>
      <c r="F42" t="s">
        <v>19</v>
      </c>
      <c r="G42">
        <v>0.13800000000000001</v>
      </c>
      <c r="H42">
        <v>6.9999999999999999E-4</v>
      </c>
      <c r="I42">
        <f t="shared" si="1"/>
        <v>0.50724637681159412</v>
      </c>
      <c r="K42">
        <v>3</v>
      </c>
      <c r="L42">
        <v>2</v>
      </c>
      <c r="M42">
        <v>2.5</v>
      </c>
      <c r="N42">
        <v>2</v>
      </c>
      <c r="O42" s="2">
        <v>44644</v>
      </c>
      <c r="P42" s="3">
        <v>0.49791666666666701</v>
      </c>
    </row>
    <row r="43" spans="1:17" x14ac:dyDescent="0.35">
      <c r="A43">
        <v>42</v>
      </c>
      <c r="B43" t="s">
        <v>61</v>
      </c>
      <c r="C43" s="47" t="s">
        <v>62</v>
      </c>
      <c r="D43">
        <v>16</v>
      </c>
      <c r="E43" t="s">
        <v>31</v>
      </c>
      <c r="F43" t="s">
        <v>31</v>
      </c>
      <c r="G43">
        <v>0.15559999999999999</v>
      </c>
      <c r="H43">
        <v>5.7999999999999996E-3</v>
      </c>
      <c r="I43">
        <f t="shared" si="1"/>
        <v>3.7275064267352187</v>
      </c>
      <c r="K43">
        <v>2</v>
      </c>
      <c r="L43">
        <v>2.1</v>
      </c>
      <c r="M43">
        <v>2.6</v>
      </c>
      <c r="N43">
        <v>2</v>
      </c>
      <c r="O43" s="2">
        <v>44644</v>
      </c>
      <c r="P43" s="3">
        <v>0.52777777777777801</v>
      </c>
    </row>
    <row r="44" spans="1:17" x14ac:dyDescent="0.35">
      <c r="A44">
        <v>43</v>
      </c>
      <c r="B44" t="s">
        <v>61</v>
      </c>
      <c r="C44" s="47" t="s">
        <v>62</v>
      </c>
      <c r="D44">
        <v>16</v>
      </c>
      <c r="E44" t="s">
        <v>19</v>
      </c>
      <c r="F44" t="s">
        <v>19</v>
      </c>
      <c r="G44">
        <v>0.17519999999999999</v>
      </c>
      <c r="I44">
        <f t="shared" si="1"/>
        <v>0</v>
      </c>
      <c r="K44">
        <v>1</v>
      </c>
      <c r="L44">
        <v>2.2000000000000002</v>
      </c>
      <c r="M44">
        <v>2.7</v>
      </c>
      <c r="N44">
        <v>2</v>
      </c>
      <c r="O44" s="2">
        <v>44644</v>
      </c>
      <c r="P44" s="3">
        <v>0.53472222222222199</v>
      </c>
    </row>
    <row r="45" spans="1:17" x14ac:dyDescent="0.35">
      <c r="A45">
        <v>44</v>
      </c>
      <c r="B45" t="s">
        <v>63</v>
      </c>
      <c r="C45" s="47" t="s">
        <v>64</v>
      </c>
      <c r="D45">
        <v>15</v>
      </c>
      <c r="E45" t="s">
        <v>31</v>
      </c>
      <c r="F45" t="s">
        <v>31</v>
      </c>
      <c r="G45">
        <v>0.21940000000000001</v>
      </c>
      <c r="H45">
        <v>1.1999999999999999E-3</v>
      </c>
      <c r="I45">
        <f t="shared" si="1"/>
        <v>0.54694621695533263</v>
      </c>
      <c r="J45" t="s">
        <v>69</v>
      </c>
      <c r="K45">
        <v>1</v>
      </c>
      <c r="L45">
        <v>2.2999999999999998</v>
      </c>
      <c r="M45">
        <v>2.9</v>
      </c>
      <c r="N45">
        <v>2</v>
      </c>
      <c r="O45" s="2">
        <v>44644</v>
      </c>
      <c r="P45" s="3">
        <v>0.54305555555555596</v>
      </c>
    </row>
    <row r="46" spans="1:17" x14ac:dyDescent="0.35">
      <c r="A46">
        <v>45</v>
      </c>
      <c r="B46" t="s">
        <v>63</v>
      </c>
      <c r="C46" s="47" t="s">
        <v>64</v>
      </c>
      <c r="D46">
        <v>15</v>
      </c>
      <c r="E46" t="s">
        <v>31</v>
      </c>
      <c r="F46" t="s">
        <v>31</v>
      </c>
      <c r="G46">
        <v>0.22140000000000001</v>
      </c>
      <c r="H46">
        <v>1.6299999999999999E-2</v>
      </c>
      <c r="I46">
        <f t="shared" si="1"/>
        <v>7.3622402890695566</v>
      </c>
      <c r="K46">
        <v>3</v>
      </c>
      <c r="L46">
        <v>2.2999999999999998</v>
      </c>
      <c r="M46">
        <v>2.8</v>
      </c>
      <c r="N46">
        <v>2</v>
      </c>
      <c r="O46" s="2">
        <v>44644</v>
      </c>
      <c r="P46" s="3">
        <v>0.55069444444444504</v>
      </c>
    </row>
    <row r="47" spans="1:17" x14ac:dyDescent="0.35">
      <c r="A47">
        <v>46</v>
      </c>
      <c r="B47" t="s">
        <v>66</v>
      </c>
      <c r="C47" s="47" t="s">
        <v>67</v>
      </c>
      <c r="D47">
        <v>14</v>
      </c>
      <c r="E47" t="s">
        <v>19</v>
      </c>
      <c r="F47" t="s">
        <v>19</v>
      </c>
      <c r="G47">
        <v>0.1241</v>
      </c>
      <c r="H47">
        <v>2.9999999999999997E-4</v>
      </c>
      <c r="I47">
        <f t="shared" si="1"/>
        <v>0.24174053182916999</v>
      </c>
      <c r="K47">
        <v>2</v>
      </c>
      <c r="L47">
        <v>1.9</v>
      </c>
      <c r="M47">
        <v>2.4</v>
      </c>
      <c r="N47">
        <v>1</v>
      </c>
      <c r="O47" s="2">
        <v>44644</v>
      </c>
      <c r="P47" s="3">
        <v>0.55555555555555602</v>
      </c>
    </row>
    <row r="48" spans="1:17" x14ac:dyDescent="0.35">
      <c r="A48">
        <v>47</v>
      </c>
      <c r="B48" t="s">
        <v>66</v>
      </c>
      <c r="C48" s="47" t="s">
        <v>67</v>
      </c>
      <c r="D48">
        <v>14</v>
      </c>
      <c r="E48" t="s">
        <v>31</v>
      </c>
      <c r="F48" t="s">
        <v>31</v>
      </c>
      <c r="G48">
        <v>8.7900000000000006E-2</v>
      </c>
      <c r="H48">
        <v>1.1999999999999999E-3</v>
      </c>
      <c r="I48">
        <f t="shared" si="1"/>
        <v>1.3651877133105801</v>
      </c>
      <c r="K48">
        <v>1</v>
      </c>
      <c r="L48">
        <v>1.3</v>
      </c>
      <c r="M48">
        <v>2.2000000000000002</v>
      </c>
      <c r="N48">
        <v>1</v>
      </c>
      <c r="O48" s="2">
        <v>44644</v>
      </c>
      <c r="P48" s="3">
        <v>0.56111111111111101</v>
      </c>
    </row>
    <row r="49" spans="1:17" x14ac:dyDescent="0.35">
      <c r="A49">
        <v>48</v>
      </c>
      <c r="B49" t="s">
        <v>61</v>
      </c>
      <c r="C49" s="47" t="s">
        <v>62</v>
      </c>
      <c r="D49">
        <v>16</v>
      </c>
      <c r="E49" t="s">
        <v>31</v>
      </c>
      <c r="F49" t="s">
        <v>31</v>
      </c>
      <c r="G49">
        <v>0.1104</v>
      </c>
      <c r="H49">
        <v>1E-4</v>
      </c>
      <c r="I49">
        <f t="shared" si="1"/>
        <v>9.0579710144927536E-2</v>
      </c>
      <c r="K49">
        <v>1</v>
      </c>
      <c r="L49">
        <v>1.1000000000000001</v>
      </c>
      <c r="M49">
        <v>2.35</v>
      </c>
      <c r="N49">
        <v>1</v>
      </c>
      <c r="O49" s="2">
        <v>44644</v>
      </c>
      <c r="P49" s="3">
        <v>0.56388888888888899</v>
      </c>
    </row>
    <row r="50" spans="1:17" x14ac:dyDescent="0.35">
      <c r="A50">
        <v>49</v>
      </c>
      <c r="B50" t="s">
        <v>61</v>
      </c>
      <c r="C50" s="47" t="s">
        <v>62</v>
      </c>
      <c r="D50">
        <v>16</v>
      </c>
      <c r="E50" t="s">
        <v>19</v>
      </c>
      <c r="F50" t="s">
        <v>19</v>
      </c>
      <c r="G50">
        <v>0.16170000000000001</v>
      </c>
      <c r="H50">
        <v>2.0000000000000001E-4</v>
      </c>
      <c r="I50">
        <f t="shared" si="1"/>
        <v>0.12368583797155225</v>
      </c>
      <c r="K50">
        <v>2</v>
      </c>
      <c r="L50">
        <v>2.1</v>
      </c>
      <c r="M50">
        <v>2.7</v>
      </c>
      <c r="N50">
        <v>2</v>
      </c>
      <c r="O50" s="2">
        <v>44644</v>
      </c>
      <c r="P50" s="3">
        <v>0.57083333333333297</v>
      </c>
    </row>
    <row r="51" spans="1:17" x14ac:dyDescent="0.35">
      <c r="A51">
        <v>50</v>
      </c>
      <c r="B51" t="s">
        <v>66</v>
      </c>
      <c r="C51" s="47" t="s">
        <v>67</v>
      </c>
      <c r="D51">
        <v>14</v>
      </c>
      <c r="E51" t="s">
        <v>31</v>
      </c>
      <c r="F51" t="s">
        <v>31</v>
      </c>
      <c r="G51">
        <v>0.1547</v>
      </c>
      <c r="H51">
        <v>8.2000000000000007E-3</v>
      </c>
      <c r="I51">
        <f t="shared" si="1"/>
        <v>5.3005817711700072</v>
      </c>
      <c r="K51">
        <v>2</v>
      </c>
      <c r="L51">
        <v>2.1</v>
      </c>
      <c r="M51">
        <v>2.6</v>
      </c>
      <c r="N51">
        <v>2</v>
      </c>
      <c r="O51" s="2">
        <v>44644</v>
      </c>
      <c r="P51" s="3">
        <v>0.57499999999999996</v>
      </c>
    </row>
    <row r="52" spans="1:17" x14ac:dyDescent="0.35">
      <c r="A52">
        <v>51</v>
      </c>
      <c r="B52" t="s">
        <v>66</v>
      </c>
      <c r="C52" s="47" t="s">
        <v>67</v>
      </c>
      <c r="D52">
        <v>14</v>
      </c>
      <c r="E52" t="s">
        <v>31</v>
      </c>
      <c r="F52" t="s">
        <v>31</v>
      </c>
      <c r="G52">
        <v>0.1711</v>
      </c>
      <c r="H52">
        <v>4.3E-3</v>
      </c>
      <c r="I52">
        <f t="shared" si="1"/>
        <v>2.5131502045587375</v>
      </c>
      <c r="K52">
        <v>1</v>
      </c>
      <c r="L52">
        <v>2.1</v>
      </c>
      <c r="M52">
        <v>2.6</v>
      </c>
      <c r="N52">
        <v>2</v>
      </c>
      <c r="O52" s="2">
        <v>44644</v>
      </c>
      <c r="P52" s="3">
        <v>0.57986111111111105</v>
      </c>
    </row>
    <row r="53" spans="1:17" x14ac:dyDescent="0.35">
      <c r="A53">
        <v>52</v>
      </c>
      <c r="B53" t="s">
        <v>61</v>
      </c>
      <c r="C53" s="47" t="s">
        <v>62</v>
      </c>
      <c r="D53">
        <v>16</v>
      </c>
      <c r="E53" t="s">
        <v>31</v>
      </c>
      <c r="F53" t="s">
        <v>31</v>
      </c>
      <c r="G53">
        <v>0.17630000000000001</v>
      </c>
      <c r="H53">
        <v>7.0000000000000001E-3</v>
      </c>
      <c r="I53">
        <f t="shared" si="1"/>
        <v>3.9705048213272831</v>
      </c>
      <c r="K53">
        <v>2</v>
      </c>
      <c r="L53">
        <v>2</v>
      </c>
      <c r="M53">
        <v>2.4500000000000002</v>
      </c>
      <c r="N53">
        <v>2</v>
      </c>
      <c r="O53" s="2">
        <v>44644</v>
      </c>
      <c r="P53" s="3">
        <v>0.57986111111111105</v>
      </c>
    </row>
    <row r="54" spans="1:17" x14ac:dyDescent="0.35">
      <c r="A54">
        <v>53</v>
      </c>
      <c r="B54" t="s">
        <v>61</v>
      </c>
      <c r="C54" s="47" t="s">
        <v>62</v>
      </c>
      <c r="D54">
        <v>16</v>
      </c>
      <c r="E54" t="s">
        <v>19</v>
      </c>
      <c r="F54" t="s">
        <v>19</v>
      </c>
      <c r="G54">
        <v>0.16289999999999999</v>
      </c>
      <c r="H54">
        <v>6.9999999999999999E-4</v>
      </c>
      <c r="I54">
        <f t="shared" si="1"/>
        <v>0.42971147943523635</v>
      </c>
      <c r="K54">
        <v>3</v>
      </c>
      <c r="L54">
        <v>2</v>
      </c>
      <c r="M54">
        <v>2.5</v>
      </c>
      <c r="N54">
        <v>2</v>
      </c>
      <c r="O54" s="2">
        <v>44644</v>
      </c>
      <c r="P54" s="3">
        <v>0.59097222222222201</v>
      </c>
    </row>
    <row r="55" spans="1:17" x14ac:dyDescent="0.35">
      <c r="A55">
        <v>54</v>
      </c>
      <c r="B55" t="s">
        <v>66</v>
      </c>
      <c r="C55" s="47" t="s">
        <v>67</v>
      </c>
      <c r="D55">
        <v>14</v>
      </c>
      <c r="E55" t="s">
        <v>19</v>
      </c>
      <c r="F55" t="s">
        <v>19</v>
      </c>
      <c r="G55">
        <v>0.12939999999999999</v>
      </c>
      <c r="H55">
        <v>1.6000000000000001E-3</v>
      </c>
      <c r="I55">
        <f t="shared" si="1"/>
        <v>1.2364760432766617</v>
      </c>
      <c r="K55">
        <v>3</v>
      </c>
      <c r="L55">
        <v>1.9</v>
      </c>
      <c r="M55">
        <v>2.4</v>
      </c>
      <c r="N55">
        <v>2</v>
      </c>
      <c r="O55" s="2">
        <v>44644</v>
      </c>
      <c r="P55" s="3">
        <v>0.59791666666666698</v>
      </c>
      <c r="Q55" t="s">
        <v>70</v>
      </c>
    </row>
    <row r="56" spans="1:17" x14ac:dyDescent="0.35">
      <c r="A56">
        <v>55</v>
      </c>
      <c r="B56" t="s">
        <v>66</v>
      </c>
      <c r="C56" s="47" t="s">
        <v>67</v>
      </c>
      <c r="D56">
        <v>14</v>
      </c>
      <c r="E56" t="s">
        <v>31</v>
      </c>
      <c r="F56" t="s">
        <v>31</v>
      </c>
      <c r="G56">
        <v>0.13830000000000001</v>
      </c>
      <c r="H56">
        <v>4.4000000000000003E-3</v>
      </c>
      <c r="I56">
        <f t="shared" si="1"/>
        <v>3.1814895155459149</v>
      </c>
      <c r="K56">
        <v>1</v>
      </c>
      <c r="L56">
        <v>2</v>
      </c>
      <c r="M56">
        <v>2.5</v>
      </c>
      <c r="N56">
        <v>2</v>
      </c>
      <c r="O56" s="2">
        <v>44644</v>
      </c>
      <c r="P56" s="3">
        <v>0.59791666666666698</v>
      </c>
      <c r="Q56" t="s">
        <v>71</v>
      </c>
    </row>
    <row r="57" spans="1:17" x14ac:dyDescent="0.35">
      <c r="A57">
        <v>56</v>
      </c>
      <c r="B57" t="s">
        <v>66</v>
      </c>
      <c r="C57" s="47" t="s">
        <v>67</v>
      </c>
      <c r="D57">
        <v>14</v>
      </c>
      <c r="E57" t="s">
        <v>31</v>
      </c>
      <c r="F57" t="s">
        <v>31</v>
      </c>
      <c r="G57">
        <v>0.2155</v>
      </c>
      <c r="H57">
        <v>3.3999999999999998E-3</v>
      </c>
      <c r="I57">
        <f t="shared" si="1"/>
        <v>1.5777262180974478</v>
      </c>
      <c r="K57">
        <v>1</v>
      </c>
      <c r="L57">
        <v>2.2999999999999998</v>
      </c>
      <c r="M57">
        <v>2.9</v>
      </c>
      <c r="N57">
        <v>2</v>
      </c>
      <c r="O57" s="2">
        <v>44644</v>
      </c>
      <c r="P57" s="3">
        <v>0.61388888888888904</v>
      </c>
      <c r="Q57" t="s">
        <v>71</v>
      </c>
    </row>
    <row r="58" spans="1:17" x14ac:dyDescent="0.35">
      <c r="A58">
        <v>57</v>
      </c>
      <c r="B58" t="s">
        <v>72</v>
      </c>
      <c r="C58" s="47" t="s">
        <v>73</v>
      </c>
      <c r="D58">
        <v>12</v>
      </c>
      <c r="E58" t="s">
        <v>31</v>
      </c>
      <c r="F58" t="s">
        <v>31</v>
      </c>
      <c r="G58">
        <v>0.16450000000000001</v>
      </c>
      <c r="H58">
        <v>8.2000000000000007E-3</v>
      </c>
      <c r="I58">
        <f t="shared" si="1"/>
        <v>4.9848024316109418</v>
      </c>
      <c r="K58">
        <v>2</v>
      </c>
      <c r="L58">
        <v>2.1</v>
      </c>
      <c r="M58">
        <v>2.6</v>
      </c>
      <c r="N58">
        <v>2</v>
      </c>
      <c r="O58" s="2">
        <v>44644</v>
      </c>
      <c r="P58" s="3">
        <v>0.61875000000000002</v>
      </c>
    </row>
    <row r="59" spans="1:17" x14ac:dyDescent="0.35">
      <c r="A59">
        <v>58</v>
      </c>
      <c r="B59" t="s">
        <v>72</v>
      </c>
      <c r="C59" s="47" t="s">
        <v>73</v>
      </c>
      <c r="D59">
        <v>12</v>
      </c>
      <c r="E59" t="s">
        <v>19</v>
      </c>
      <c r="F59" t="s">
        <v>19</v>
      </c>
      <c r="G59">
        <v>0.21609999999999999</v>
      </c>
      <c r="H59">
        <v>5.9999999999999995E-4</v>
      </c>
      <c r="I59">
        <f t="shared" si="1"/>
        <v>0.27764923646459971</v>
      </c>
      <c r="K59">
        <v>3</v>
      </c>
      <c r="L59">
        <v>2.2999999999999998</v>
      </c>
      <c r="M59">
        <v>2.9</v>
      </c>
      <c r="N59">
        <v>2</v>
      </c>
      <c r="O59" s="2">
        <v>44644</v>
      </c>
      <c r="P59" s="3">
        <v>0.62361111111111101</v>
      </c>
    </row>
    <row r="60" spans="1:17" x14ac:dyDescent="0.35">
      <c r="A60">
        <v>59</v>
      </c>
      <c r="B60" t="s">
        <v>74</v>
      </c>
      <c r="C60" s="47" t="s">
        <v>75</v>
      </c>
      <c r="D60">
        <v>10</v>
      </c>
      <c r="E60" t="s">
        <v>19</v>
      </c>
      <c r="F60" t="s">
        <v>19</v>
      </c>
      <c r="G60">
        <v>0.16880000000000001</v>
      </c>
      <c r="H60">
        <v>6.9999999999999999E-4</v>
      </c>
      <c r="I60">
        <f t="shared" si="1"/>
        <v>0.41469194312796204</v>
      </c>
      <c r="K60">
        <v>3</v>
      </c>
      <c r="L60">
        <v>2.1</v>
      </c>
      <c r="M60">
        <v>2.7</v>
      </c>
      <c r="N60">
        <v>2</v>
      </c>
      <c r="O60" s="2">
        <v>44644</v>
      </c>
      <c r="P60" s="3">
        <v>0.62777777777777799</v>
      </c>
    </row>
    <row r="61" spans="1:17" x14ac:dyDescent="0.35">
      <c r="A61">
        <v>60</v>
      </c>
      <c r="B61" t="s">
        <v>74</v>
      </c>
      <c r="C61" s="47" t="s">
        <v>75</v>
      </c>
      <c r="D61">
        <v>10</v>
      </c>
      <c r="E61" t="s">
        <v>31</v>
      </c>
      <c r="F61" t="s">
        <v>31</v>
      </c>
      <c r="G61">
        <v>0.16880000000000001</v>
      </c>
      <c r="H61">
        <v>9.4999999999999998E-3</v>
      </c>
      <c r="I61">
        <f t="shared" si="1"/>
        <v>5.6279620853080567</v>
      </c>
      <c r="K61">
        <v>2</v>
      </c>
      <c r="L61">
        <v>2.1</v>
      </c>
      <c r="M61">
        <v>2.6</v>
      </c>
      <c r="N61">
        <v>2</v>
      </c>
      <c r="O61" s="2">
        <v>44644</v>
      </c>
      <c r="P61" s="3">
        <v>0.63333333333333297</v>
      </c>
    </row>
    <row r="62" spans="1:17" x14ac:dyDescent="0.35">
      <c r="A62">
        <v>61</v>
      </c>
      <c r="B62" t="s">
        <v>76</v>
      </c>
      <c r="C62" s="47" t="s">
        <v>171</v>
      </c>
      <c r="D62">
        <v>9</v>
      </c>
      <c r="E62" t="s">
        <v>19</v>
      </c>
      <c r="F62" t="s">
        <v>19</v>
      </c>
      <c r="G62">
        <v>0.1883</v>
      </c>
      <c r="H62">
        <v>1.4E-3</v>
      </c>
      <c r="I62">
        <f t="shared" si="1"/>
        <v>0.74349442379182162</v>
      </c>
      <c r="K62">
        <v>4</v>
      </c>
      <c r="L62">
        <v>2.2000000000000002</v>
      </c>
      <c r="M62">
        <v>2.7</v>
      </c>
      <c r="N62">
        <v>2</v>
      </c>
      <c r="O62" s="2">
        <v>44644</v>
      </c>
      <c r="P62" s="3">
        <v>0.63333333333333297</v>
      </c>
    </row>
    <row r="63" spans="1:17" x14ac:dyDescent="0.35">
      <c r="A63">
        <v>62</v>
      </c>
      <c r="B63" t="s">
        <v>76</v>
      </c>
      <c r="C63" s="47" t="s">
        <v>171</v>
      </c>
      <c r="D63">
        <v>9</v>
      </c>
      <c r="E63" t="s">
        <v>31</v>
      </c>
      <c r="F63" t="s">
        <v>31</v>
      </c>
      <c r="G63">
        <v>0.1966</v>
      </c>
      <c r="H63">
        <v>8.9999999999999993E-3</v>
      </c>
      <c r="I63">
        <f t="shared" si="1"/>
        <v>4.5778229908443535</v>
      </c>
      <c r="J63">
        <f>0.0206-H63</f>
        <v>1.1600000000000001E-2</v>
      </c>
      <c r="K63">
        <v>2</v>
      </c>
      <c r="L63">
        <v>2.1</v>
      </c>
      <c r="M63">
        <v>2.6</v>
      </c>
      <c r="N63">
        <v>2</v>
      </c>
      <c r="O63" s="2">
        <v>44644</v>
      </c>
      <c r="P63" s="3">
        <v>0.63333333333333297</v>
      </c>
      <c r="Q63" t="s">
        <v>77</v>
      </c>
    </row>
    <row r="64" spans="1:17" x14ac:dyDescent="0.35">
      <c r="A64">
        <v>63</v>
      </c>
      <c r="B64" t="s">
        <v>72</v>
      </c>
      <c r="C64" s="47" t="s">
        <v>73</v>
      </c>
      <c r="D64">
        <v>12</v>
      </c>
      <c r="E64" t="s">
        <v>31</v>
      </c>
      <c r="F64" t="s">
        <v>31</v>
      </c>
      <c r="G64">
        <v>0.15509999999999999</v>
      </c>
      <c r="H64">
        <v>1.26E-2</v>
      </c>
      <c r="I64">
        <f t="shared" si="1"/>
        <v>8.1237911025145078</v>
      </c>
      <c r="K64">
        <v>3</v>
      </c>
      <c r="L64">
        <v>2.1</v>
      </c>
      <c r="M64">
        <v>2.6</v>
      </c>
      <c r="N64">
        <v>2</v>
      </c>
      <c r="O64" s="2">
        <v>44644</v>
      </c>
      <c r="P64" s="3">
        <v>0.65208333333333302</v>
      </c>
    </row>
    <row r="65" spans="1:17" x14ac:dyDescent="0.35">
      <c r="A65">
        <v>64</v>
      </c>
      <c r="B65" t="s">
        <v>72</v>
      </c>
      <c r="C65" s="47" t="s">
        <v>73</v>
      </c>
      <c r="D65">
        <v>12</v>
      </c>
      <c r="E65" t="s">
        <v>31</v>
      </c>
      <c r="F65" t="s">
        <v>31</v>
      </c>
      <c r="G65">
        <v>0.16070000000000001</v>
      </c>
      <c r="H65">
        <v>9.1000000000000004E-3</v>
      </c>
      <c r="I65">
        <f t="shared" si="1"/>
        <v>5.6627255756067205</v>
      </c>
      <c r="K65">
        <v>2</v>
      </c>
      <c r="L65">
        <v>2</v>
      </c>
      <c r="M65">
        <v>2.6</v>
      </c>
      <c r="N65">
        <v>1</v>
      </c>
      <c r="O65" s="2">
        <v>44644</v>
      </c>
      <c r="P65" s="3">
        <v>0.656944444444444</v>
      </c>
      <c r="Q65" t="s">
        <v>78</v>
      </c>
    </row>
    <row r="66" spans="1:17" x14ac:dyDescent="0.35">
      <c r="A66">
        <v>65</v>
      </c>
      <c r="B66" t="s">
        <v>74</v>
      </c>
      <c r="C66" s="47" t="s">
        <v>75</v>
      </c>
      <c r="D66">
        <v>10</v>
      </c>
      <c r="E66" t="s">
        <v>19</v>
      </c>
      <c r="F66" t="s">
        <v>19</v>
      </c>
      <c r="G66">
        <v>0.19120000000000001</v>
      </c>
      <c r="H66">
        <v>1.2999999999999999E-3</v>
      </c>
      <c r="I66">
        <f t="shared" ref="I66:I97" si="2">H66/G66*100</f>
        <v>0.67991631799163177</v>
      </c>
      <c r="K66">
        <v>3</v>
      </c>
      <c r="L66">
        <v>2.4</v>
      </c>
      <c r="M66">
        <v>2.9</v>
      </c>
      <c r="N66">
        <v>2</v>
      </c>
      <c r="O66" s="2">
        <v>44644</v>
      </c>
      <c r="P66" s="3">
        <v>0.66180555555555598</v>
      </c>
    </row>
    <row r="67" spans="1:17" x14ac:dyDescent="0.35">
      <c r="A67">
        <v>66</v>
      </c>
      <c r="B67" t="s">
        <v>74</v>
      </c>
      <c r="C67" s="47" t="s">
        <v>75</v>
      </c>
      <c r="D67">
        <v>10</v>
      </c>
      <c r="E67" t="s">
        <v>19</v>
      </c>
      <c r="F67" t="s">
        <v>19</v>
      </c>
      <c r="G67">
        <v>0.12690000000000001</v>
      </c>
      <c r="H67">
        <v>6.9999999999999999E-4</v>
      </c>
      <c r="I67">
        <f t="shared" si="2"/>
        <v>0.55161544523246642</v>
      </c>
      <c r="K67">
        <v>3</v>
      </c>
      <c r="L67">
        <v>2</v>
      </c>
      <c r="M67">
        <v>2.5</v>
      </c>
      <c r="N67">
        <v>2</v>
      </c>
      <c r="O67" s="2">
        <v>44644</v>
      </c>
      <c r="P67" s="3">
        <v>0.66527777777777797</v>
      </c>
    </row>
    <row r="68" spans="1:17" x14ac:dyDescent="0.35">
      <c r="A68">
        <v>67</v>
      </c>
      <c r="B68" t="s">
        <v>76</v>
      </c>
      <c r="C68" s="47" t="s">
        <v>171</v>
      </c>
      <c r="D68">
        <v>9</v>
      </c>
      <c r="E68" t="s">
        <v>31</v>
      </c>
      <c r="F68" t="s">
        <v>31</v>
      </c>
      <c r="G68">
        <v>0.12039999999999999</v>
      </c>
      <c r="H68">
        <v>7.0000000000000001E-3</v>
      </c>
      <c r="I68">
        <f t="shared" si="2"/>
        <v>5.8139534883720936</v>
      </c>
      <c r="J68">
        <f>0.0184-H68</f>
        <v>1.14E-2</v>
      </c>
      <c r="K68">
        <v>2</v>
      </c>
      <c r="L68">
        <v>1.9</v>
      </c>
      <c r="M68">
        <v>2.4</v>
      </c>
      <c r="N68">
        <v>1</v>
      </c>
      <c r="O68" s="2">
        <v>44644</v>
      </c>
      <c r="P68" s="3">
        <v>0.67291666666666705</v>
      </c>
      <c r="Q68" t="s">
        <v>79</v>
      </c>
    </row>
    <row r="69" spans="1:17" x14ac:dyDescent="0.35">
      <c r="A69">
        <v>68</v>
      </c>
      <c r="B69" t="s">
        <v>76</v>
      </c>
      <c r="C69" s="47" t="s">
        <v>171</v>
      </c>
      <c r="D69">
        <v>9</v>
      </c>
      <c r="E69" t="s">
        <v>31</v>
      </c>
      <c r="F69" t="s">
        <v>31</v>
      </c>
      <c r="G69">
        <v>0.155</v>
      </c>
      <c r="H69">
        <v>3.3E-3</v>
      </c>
      <c r="I69">
        <f t="shared" si="2"/>
        <v>2.129032258064516</v>
      </c>
      <c r="K69">
        <v>1</v>
      </c>
      <c r="L69">
        <v>2</v>
      </c>
      <c r="M69">
        <v>2.5</v>
      </c>
      <c r="N69">
        <v>1</v>
      </c>
      <c r="O69" s="2">
        <v>44644</v>
      </c>
      <c r="P69" s="3">
        <v>0.67638888888888904</v>
      </c>
      <c r="Q69" t="s">
        <v>80</v>
      </c>
    </row>
    <row r="70" spans="1:17" x14ac:dyDescent="0.35">
      <c r="A70">
        <v>69</v>
      </c>
      <c r="B70" t="s">
        <v>72</v>
      </c>
      <c r="C70" s="47" t="s">
        <v>73</v>
      </c>
      <c r="D70">
        <v>12</v>
      </c>
      <c r="E70" t="s">
        <v>31</v>
      </c>
      <c r="F70" t="s">
        <v>31</v>
      </c>
      <c r="G70">
        <v>0.20930000000000001</v>
      </c>
      <c r="H70">
        <v>1.5E-3</v>
      </c>
      <c r="I70">
        <f t="shared" si="2"/>
        <v>0.71667462971810791</v>
      </c>
      <c r="J70">
        <f>0.0313-H70</f>
        <v>2.98E-2</v>
      </c>
      <c r="K70">
        <v>3</v>
      </c>
      <c r="L70">
        <v>2.2000000000000002</v>
      </c>
      <c r="M70">
        <v>2.8</v>
      </c>
      <c r="N70">
        <v>2</v>
      </c>
      <c r="O70" s="2">
        <v>44644</v>
      </c>
      <c r="P70" s="3">
        <v>0.68263888888888902</v>
      </c>
      <c r="Q70" t="s">
        <v>81</v>
      </c>
    </row>
    <row r="71" spans="1:17" x14ac:dyDescent="0.35">
      <c r="A71">
        <v>70</v>
      </c>
      <c r="B71" t="s">
        <v>74</v>
      </c>
      <c r="C71" s="47" t="s">
        <v>75</v>
      </c>
      <c r="D71">
        <v>10</v>
      </c>
      <c r="E71" t="s">
        <v>31</v>
      </c>
      <c r="F71" t="s">
        <v>31</v>
      </c>
      <c r="G71">
        <v>0.14480000000000001</v>
      </c>
      <c r="H71">
        <v>8.9999999999999993E-3</v>
      </c>
      <c r="I71">
        <f t="shared" si="2"/>
        <v>6.2154696132596676</v>
      </c>
      <c r="K71">
        <v>3</v>
      </c>
      <c r="L71">
        <v>2</v>
      </c>
      <c r="M71">
        <v>2.5</v>
      </c>
      <c r="N71">
        <v>1</v>
      </c>
      <c r="O71" s="2">
        <v>44644</v>
      </c>
      <c r="P71" s="3">
        <v>0.68263888888888902</v>
      </c>
    </row>
    <row r="72" spans="1:17" s="49" customFormat="1" x14ac:dyDescent="0.35">
      <c r="A72" s="49">
        <v>71</v>
      </c>
      <c r="B72" s="49" t="s">
        <v>74</v>
      </c>
      <c r="C72" s="48" t="s">
        <v>75</v>
      </c>
      <c r="D72" s="49">
        <v>10</v>
      </c>
      <c r="E72" s="49" t="s">
        <v>19</v>
      </c>
      <c r="F72" s="49" t="s">
        <v>19</v>
      </c>
      <c r="G72" s="49">
        <v>0.21210000000000001</v>
      </c>
      <c r="H72" s="49">
        <v>1.2999999999999999E-3</v>
      </c>
      <c r="I72" s="49">
        <f t="shared" si="2"/>
        <v>0.61291843470061291</v>
      </c>
      <c r="K72" s="49">
        <v>3</v>
      </c>
      <c r="L72" s="49">
        <v>2.4</v>
      </c>
      <c r="M72" s="49">
        <v>2.9</v>
      </c>
      <c r="N72" s="49">
        <v>2</v>
      </c>
      <c r="O72" s="50">
        <v>44644</v>
      </c>
      <c r="P72" s="51">
        <v>0.69374999999999998</v>
      </c>
      <c r="Q72" s="49" t="s">
        <v>82</v>
      </c>
    </row>
    <row r="73" spans="1:17" x14ac:dyDescent="0.35">
      <c r="A73">
        <v>72</v>
      </c>
      <c r="B73" t="s">
        <v>76</v>
      </c>
      <c r="C73" s="47" t="s">
        <v>171</v>
      </c>
      <c r="D73">
        <v>9</v>
      </c>
      <c r="E73" t="s">
        <v>19</v>
      </c>
      <c r="F73" t="s">
        <v>19</v>
      </c>
      <c r="G73">
        <v>0.1414</v>
      </c>
      <c r="H73">
        <v>6.9999999999999999E-4</v>
      </c>
      <c r="I73">
        <f t="shared" si="2"/>
        <v>0.49504950495049505</v>
      </c>
      <c r="K73">
        <v>2</v>
      </c>
      <c r="L73">
        <v>2.1</v>
      </c>
      <c r="M73">
        <v>2.6</v>
      </c>
      <c r="N73">
        <v>2</v>
      </c>
      <c r="O73" s="2">
        <v>44644</v>
      </c>
      <c r="P73" s="3">
        <v>0.69722222222222197</v>
      </c>
    </row>
    <row r="74" spans="1:17" x14ac:dyDescent="0.35">
      <c r="A74">
        <v>73</v>
      </c>
      <c r="B74" t="s">
        <v>76</v>
      </c>
      <c r="C74" s="47" t="s">
        <v>171</v>
      </c>
      <c r="D74">
        <v>9</v>
      </c>
      <c r="E74" t="s">
        <v>31</v>
      </c>
      <c r="F74" t="s">
        <v>31</v>
      </c>
      <c r="G74">
        <v>0.1439</v>
      </c>
      <c r="H74">
        <v>9.2999999999999992E-3</v>
      </c>
      <c r="I74">
        <f t="shared" si="2"/>
        <v>6.4628214037526055</v>
      </c>
      <c r="J74">
        <f>0.0148-H74</f>
        <v>5.5000000000000014E-3</v>
      </c>
      <c r="K74">
        <v>3</v>
      </c>
      <c r="L74">
        <v>2</v>
      </c>
      <c r="M74">
        <v>2.5</v>
      </c>
      <c r="N74">
        <v>2</v>
      </c>
      <c r="O74" s="2">
        <v>44644</v>
      </c>
      <c r="P74" s="3">
        <v>0.70138888888888895</v>
      </c>
      <c r="Q74" t="s">
        <v>83</v>
      </c>
    </row>
    <row r="75" spans="1:17" x14ac:dyDescent="0.35">
      <c r="A75">
        <v>74</v>
      </c>
      <c r="B75" t="s">
        <v>76</v>
      </c>
      <c r="C75" s="47" t="s">
        <v>171</v>
      </c>
      <c r="D75">
        <v>9</v>
      </c>
      <c r="E75" t="s">
        <v>19</v>
      </c>
      <c r="F75" t="s">
        <v>19</v>
      </c>
      <c r="G75">
        <v>0.11210000000000001</v>
      </c>
      <c r="H75">
        <v>6.9999999999999999E-4</v>
      </c>
      <c r="I75">
        <f t="shared" si="2"/>
        <v>0.62444246208742193</v>
      </c>
      <c r="K75">
        <v>2</v>
      </c>
      <c r="L75">
        <v>2</v>
      </c>
      <c r="M75">
        <v>2.5</v>
      </c>
      <c r="N75">
        <v>1</v>
      </c>
      <c r="O75" s="2">
        <v>44644</v>
      </c>
      <c r="P75" s="3">
        <v>0.70625000000000004</v>
      </c>
    </row>
    <row r="76" spans="1:17" x14ac:dyDescent="0.35">
      <c r="A76">
        <v>75</v>
      </c>
      <c r="B76" t="s">
        <v>76</v>
      </c>
      <c r="C76" s="47" t="s">
        <v>171</v>
      </c>
      <c r="D76">
        <v>9</v>
      </c>
      <c r="E76" t="s">
        <v>31</v>
      </c>
      <c r="F76" t="s">
        <v>31</v>
      </c>
      <c r="G76">
        <v>0.19159999999999999</v>
      </c>
      <c r="H76">
        <v>1.0699999999999999E-2</v>
      </c>
      <c r="I76">
        <f t="shared" si="2"/>
        <v>5.5845511482254695</v>
      </c>
      <c r="K76">
        <v>3</v>
      </c>
      <c r="L76">
        <v>2.2000000000000002</v>
      </c>
      <c r="M76">
        <v>2.7</v>
      </c>
      <c r="N76">
        <v>1</v>
      </c>
      <c r="O76" s="2">
        <v>44644</v>
      </c>
      <c r="P76" s="3">
        <v>0.73958333333333304</v>
      </c>
    </row>
    <row r="77" spans="1:17" x14ac:dyDescent="0.35">
      <c r="A77">
        <v>76</v>
      </c>
      <c r="B77" t="s">
        <v>84</v>
      </c>
      <c r="C77" s="47" t="s">
        <v>85</v>
      </c>
      <c r="D77">
        <v>8</v>
      </c>
      <c r="E77" t="s">
        <v>31</v>
      </c>
      <c r="F77" t="s">
        <v>31</v>
      </c>
      <c r="G77">
        <v>0.1749</v>
      </c>
      <c r="H77">
        <v>8.0999999999999996E-3</v>
      </c>
      <c r="I77">
        <f t="shared" si="2"/>
        <v>4.631217838765008</v>
      </c>
      <c r="K77">
        <v>2</v>
      </c>
      <c r="L77">
        <v>2.2000000000000002</v>
      </c>
      <c r="M77">
        <v>2.8</v>
      </c>
      <c r="N77">
        <v>2</v>
      </c>
      <c r="O77" s="2">
        <v>44648</v>
      </c>
      <c r="P77" s="3">
        <v>0.42986111111111103</v>
      </c>
    </row>
    <row r="78" spans="1:17" x14ac:dyDescent="0.35">
      <c r="A78">
        <v>77</v>
      </c>
      <c r="B78" t="s">
        <v>84</v>
      </c>
      <c r="C78" s="47" t="s">
        <v>85</v>
      </c>
      <c r="D78">
        <v>8</v>
      </c>
      <c r="E78" t="s">
        <v>31</v>
      </c>
      <c r="F78" t="s">
        <v>31</v>
      </c>
      <c r="G78">
        <v>0.16619999999999999</v>
      </c>
      <c r="H78">
        <v>7.9000000000000008E-3</v>
      </c>
      <c r="I78">
        <f t="shared" si="2"/>
        <v>4.7533092659446465</v>
      </c>
      <c r="K78">
        <v>2</v>
      </c>
      <c r="L78">
        <v>2.2000000000000002</v>
      </c>
      <c r="M78">
        <v>2.7</v>
      </c>
      <c r="N78">
        <v>2</v>
      </c>
      <c r="O78" s="2">
        <v>44648</v>
      </c>
      <c r="P78" s="3">
        <v>0.43125000000000002</v>
      </c>
    </row>
    <row r="79" spans="1:17" x14ac:dyDescent="0.35">
      <c r="A79">
        <v>78</v>
      </c>
      <c r="B79" t="s">
        <v>86</v>
      </c>
      <c r="C79" s="47" t="s">
        <v>172</v>
      </c>
      <c r="D79">
        <v>7</v>
      </c>
      <c r="E79" t="s">
        <v>31</v>
      </c>
      <c r="F79" t="s">
        <v>31</v>
      </c>
      <c r="G79">
        <v>0.13289999999999999</v>
      </c>
      <c r="H79">
        <v>5.0000000000000001E-3</v>
      </c>
      <c r="I79">
        <f t="shared" si="2"/>
        <v>3.7622272385252074</v>
      </c>
      <c r="J79">
        <f>0.0066-H79</f>
        <v>1.5999999999999999E-3</v>
      </c>
      <c r="K79">
        <v>2</v>
      </c>
      <c r="L79">
        <v>1.9</v>
      </c>
      <c r="M79">
        <v>2.4</v>
      </c>
      <c r="N79">
        <v>1</v>
      </c>
      <c r="O79" s="2">
        <v>44648</v>
      </c>
      <c r="P79" s="3">
        <v>0.43958333333333299</v>
      </c>
      <c r="Q79" t="s">
        <v>87</v>
      </c>
    </row>
    <row r="80" spans="1:17" x14ac:dyDescent="0.35">
      <c r="A80">
        <v>79</v>
      </c>
      <c r="B80" t="s">
        <v>88</v>
      </c>
      <c r="C80" s="47" t="s">
        <v>172</v>
      </c>
      <c r="D80">
        <v>7</v>
      </c>
      <c r="E80" t="s">
        <v>31</v>
      </c>
      <c r="F80" t="s">
        <v>31</v>
      </c>
      <c r="G80">
        <v>3.6499999999999998E-2</v>
      </c>
      <c r="H80">
        <v>2.0000000000000001E-4</v>
      </c>
      <c r="I80">
        <f t="shared" si="2"/>
        <v>0.54794520547945214</v>
      </c>
      <c r="K80">
        <v>1</v>
      </c>
      <c r="L80">
        <v>1.3</v>
      </c>
      <c r="M80">
        <v>1.6</v>
      </c>
      <c r="N80">
        <v>1</v>
      </c>
      <c r="O80" s="2">
        <v>44648</v>
      </c>
      <c r="P80" s="3">
        <v>0.44305555555555598</v>
      </c>
    </row>
    <row r="81" spans="1:17" x14ac:dyDescent="0.35">
      <c r="A81">
        <v>80</v>
      </c>
      <c r="B81" t="s">
        <v>89</v>
      </c>
      <c r="C81" s="47" t="s">
        <v>173</v>
      </c>
      <c r="D81">
        <v>6</v>
      </c>
      <c r="E81" t="s">
        <v>31</v>
      </c>
      <c r="F81" t="s">
        <v>31</v>
      </c>
      <c r="G81">
        <v>0.20219999999999999</v>
      </c>
      <c r="H81">
        <v>5.8999999999999999E-3</v>
      </c>
      <c r="I81">
        <f t="shared" si="2"/>
        <v>2.9179030662710188</v>
      </c>
      <c r="K81">
        <v>2</v>
      </c>
      <c r="L81">
        <v>1.3</v>
      </c>
      <c r="M81">
        <v>1.8</v>
      </c>
      <c r="N81">
        <v>1</v>
      </c>
      <c r="O81" s="2">
        <v>44648</v>
      </c>
      <c r="P81" s="3">
        <v>0.44791666666666702</v>
      </c>
      <c r="Q81" t="s">
        <v>90</v>
      </c>
    </row>
    <row r="82" spans="1:17" s="49" customFormat="1" x14ac:dyDescent="0.35">
      <c r="A82" s="49">
        <v>81</v>
      </c>
      <c r="B82" s="49" t="s">
        <v>89</v>
      </c>
      <c r="C82" s="48" t="s">
        <v>173</v>
      </c>
      <c r="D82" s="49">
        <v>6</v>
      </c>
      <c r="E82" s="49" t="s">
        <v>19</v>
      </c>
      <c r="F82" s="49" t="s">
        <v>19</v>
      </c>
      <c r="G82" s="49">
        <v>0.20269999999999999</v>
      </c>
      <c r="H82" s="49">
        <v>3.5000000000000001E-3</v>
      </c>
      <c r="I82" s="49">
        <f t="shared" si="2"/>
        <v>1.7266896891958559</v>
      </c>
      <c r="K82" s="49">
        <v>4</v>
      </c>
      <c r="L82" s="49">
        <v>2.4</v>
      </c>
      <c r="M82" s="49">
        <v>2.9</v>
      </c>
      <c r="N82" s="49">
        <v>2</v>
      </c>
      <c r="O82" s="50">
        <v>44648</v>
      </c>
      <c r="P82" s="51">
        <v>0.454166666666667</v>
      </c>
    </row>
    <row r="83" spans="1:17" x14ac:dyDescent="0.35">
      <c r="A83">
        <v>82</v>
      </c>
      <c r="B83" t="s">
        <v>84</v>
      </c>
      <c r="C83" s="47" t="s">
        <v>85</v>
      </c>
      <c r="D83">
        <v>8</v>
      </c>
      <c r="E83" t="s">
        <v>31</v>
      </c>
      <c r="F83" t="s">
        <v>31</v>
      </c>
      <c r="G83">
        <v>0.1318</v>
      </c>
      <c r="H83">
        <v>4.3E-3</v>
      </c>
      <c r="I83">
        <f t="shared" si="2"/>
        <v>3.2625189681335356</v>
      </c>
      <c r="K83">
        <v>2</v>
      </c>
      <c r="L83">
        <v>2.1</v>
      </c>
      <c r="M83">
        <v>2.5</v>
      </c>
      <c r="N83">
        <v>2</v>
      </c>
      <c r="O83" s="2">
        <v>44648</v>
      </c>
      <c r="P83" s="3">
        <v>0.45972222222222198</v>
      </c>
    </row>
    <row r="84" spans="1:17" x14ac:dyDescent="0.35">
      <c r="A84">
        <v>83</v>
      </c>
      <c r="B84" t="s">
        <v>84</v>
      </c>
      <c r="C84" s="47" t="s">
        <v>85</v>
      </c>
      <c r="D84">
        <v>8</v>
      </c>
      <c r="E84" t="s">
        <v>91</v>
      </c>
      <c r="F84" t="s">
        <v>19</v>
      </c>
      <c r="G84">
        <v>4.5499999999999999E-2</v>
      </c>
      <c r="I84">
        <f t="shared" si="2"/>
        <v>0</v>
      </c>
      <c r="K84">
        <v>1</v>
      </c>
      <c r="L84">
        <v>1.4</v>
      </c>
      <c r="M84">
        <v>1.6</v>
      </c>
      <c r="N84">
        <v>0</v>
      </c>
      <c r="O84" s="2">
        <v>44648</v>
      </c>
      <c r="P84" s="3">
        <v>0.46666666666666701</v>
      </c>
    </row>
    <row r="85" spans="1:17" x14ac:dyDescent="0.35">
      <c r="A85">
        <v>84</v>
      </c>
      <c r="B85" t="s">
        <v>86</v>
      </c>
      <c r="C85" s="47" t="s">
        <v>172</v>
      </c>
      <c r="D85">
        <v>7</v>
      </c>
      <c r="E85" t="s">
        <v>19</v>
      </c>
      <c r="F85" t="s">
        <v>19</v>
      </c>
      <c r="G85">
        <v>9.0200000000000002E-2</v>
      </c>
      <c r="I85">
        <f t="shared" si="2"/>
        <v>0</v>
      </c>
      <c r="K85">
        <v>1</v>
      </c>
      <c r="L85">
        <v>1.8</v>
      </c>
      <c r="M85">
        <v>2.2000000000000002</v>
      </c>
      <c r="N85">
        <v>1</v>
      </c>
      <c r="O85" s="2">
        <v>44648</v>
      </c>
      <c r="P85" s="3">
        <v>0.47291666666666698</v>
      </c>
    </row>
    <row r="86" spans="1:17" x14ac:dyDescent="0.35">
      <c r="A86">
        <v>85</v>
      </c>
      <c r="B86" t="s">
        <v>86</v>
      </c>
      <c r="C86" s="47" t="s">
        <v>172</v>
      </c>
      <c r="D86">
        <v>7</v>
      </c>
      <c r="E86" t="s">
        <v>31</v>
      </c>
      <c r="F86" t="s">
        <v>31</v>
      </c>
      <c r="G86">
        <v>0.104</v>
      </c>
      <c r="H86">
        <v>5.1000000000000004E-3</v>
      </c>
      <c r="I86">
        <f t="shared" si="2"/>
        <v>4.9038461538461542</v>
      </c>
      <c r="K86">
        <v>2</v>
      </c>
      <c r="L86">
        <v>1.7</v>
      </c>
      <c r="M86">
        <v>2.2000000000000002</v>
      </c>
      <c r="N86">
        <v>1</v>
      </c>
      <c r="O86" s="2">
        <v>44648</v>
      </c>
      <c r="P86" s="3">
        <v>0.47847222222222202</v>
      </c>
    </row>
    <row r="87" spans="1:17" x14ac:dyDescent="0.35">
      <c r="A87">
        <v>86</v>
      </c>
      <c r="B87" t="s">
        <v>89</v>
      </c>
      <c r="C87" s="47" t="s">
        <v>173</v>
      </c>
      <c r="D87">
        <v>6</v>
      </c>
      <c r="E87" t="s">
        <v>31</v>
      </c>
      <c r="F87" t="s">
        <v>31</v>
      </c>
      <c r="G87">
        <v>0.16320000000000001</v>
      </c>
      <c r="H87">
        <v>1.0800000000000001E-2</v>
      </c>
      <c r="I87">
        <f t="shared" si="2"/>
        <v>6.6176470588235299</v>
      </c>
      <c r="J87">
        <f>0.0114-H87</f>
        <v>5.9999999999999984E-4</v>
      </c>
      <c r="K87">
        <v>2</v>
      </c>
      <c r="L87">
        <v>2</v>
      </c>
      <c r="M87">
        <v>2.5</v>
      </c>
      <c r="N87">
        <v>1</v>
      </c>
      <c r="O87" s="2">
        <v>44648</v>
      </c>
      <c r="P87" s="3">
        <v>0.484027777777778</v>
      </c>
      <c r="Q87" t="s">
        <v>92</v>
      </c>
    </row>
    <row r="88" spans="1:17" x14ac:dyDescent="0.35">
      <c r="A88">
        <v>87</v>
      </c>
      <c r="B88" t="s">
        <v>89</v>
      </c>
      <c r="C88" s="48" t="s">
        <v>173</v>
      </c>
      <c r="D88">
        <v>6</v>
      </c>
      <c r="E88" t="s">
        <v>31</v>
      </c>
      <c r="F88" t="s">
        <v>31</v>
      </c>
      <c r="G88">
        <v>8.5599999999999996E-2</v>
      </c>
      <c r="H88">
        <v>1E-3</v>
      </c>
      <c r="I88">
        <f t="shared" si="2"/>
        <v>1.1682242990654208</v>
      </c>
      <c r="K88">
        <v>1</v>
      </c>
      <c r="L88">
        <v>1.8</v>
      </c>
      <c r="M88">
        <v>2.1</v>
      </c>
      <c r="N88">
        <v>1</v>
      </c>
      <c r="O88" s="2">
        <v>44648</v>
      </c>
      <c r="P88" s="3">
        <v>0.48888888888888898</v>
      </c>
    </row>
    <row r="89" spans="1:17" x14ac:dyDescent="0.35">
      <c r="A89">
        <v>88</v>
      </c>
      <c r="B89" t="s">
        <v>84</v>
      </c>
      <c r="C89" s="47" t="s">
        <v>85</v>
      </c>
      <c r="D89">
        <v>8</v>
      </c>
      <c r="E89" t="s">
        <v>19</v>
      </c>
      <c r="F89" t="s">
        <v>19</v>
      </c>
      <c r="G89">
        <v>0.1661</v>
      </c>
      <c r="H89">
        <v>1.8E-3</v>
      </c>
      <c r="I89">
        <f t="shared" si="2"/>
        <v>1.0836845273931366</v>
      </c>
      <c r="K89">
        <v>3</v>
      </c>
      <c r="L89">
        <v>2.2000000000000002</v>
      </c>
      <c r="M89">
        <v>2.7</v>
      </c>
      <c r="N89">
        <v>1</v>
      </c>
      <c r="O89" s="2">
        <v>44648</v>
      </c>
      <c r="P89" s="3">
        <v>0.49513888888888902</v>
      </c>
    </row>
    <row r="90" spans="1:17" x14ac:dyDescent="0.35">
      <c r="A90">
        <v>89</v>
      </c>
      <c r="B90" t="s">
        <v>84</v>
      </c>
      <c r="C90" s="47" t="s">
        <v>85</v>
      </c>
      <c r="D90">
        <v>8</v>
      </c>
      <c r="E90" t="s">
        <v>31</v>
      </c>
      <c r="F90" t="s">
        <v>31</v>
      </c>
      <c r="G90">
        <v>0.13200000000000001</v>
      </c>
      <c r="H90">
        <v>3.8E-3</v>
      </c>
      <c r="I90">
        <f t="shared" si="2"/>
        <v>2.8787878787878785</v>
      </c>
      <c r="K90">
        <v>1</v>
      </c>
      <c r="L90">
        <v>2</v>
      </c>
      <c r="M90">
        <v>2.5</v>
      </c>
      <c r="N90">
        <v>1</v>
      </c>
      <c r="O90" s="2">
        <v>44648</v>
      </c>
      <c r="P90" s="3">
        <v>0.50555555555555598</v>
      </c>
    </row>
    <row r="91" spans="1:17" x14ac:dyDescent="0.35">
      <c r="A91">
        <v>90</v>
      </c>
      <c r="B91" t="s">
        <v>86</v>
      </c>
      <c r="C91" s="47" t="s">
        <v>172</v>
      </c>
      <c r="D91">
        <v>7</v>
      </c>
      <c r="E91" t="s">
        <v>19</v>
      </c>
      <c r="F91" t="s">
        <v>19</v>
      </c>
      <c r="G91">
        <v>8.0299999999999996E-2</v>
      </c>
      <c r="H91">
        <v>5.0000000000000001E-4</v>
      </c>
      <c r="I91">
        <f t="shared" si="2"/>
        <v>0.62266500622665011</v>
      </c>
      <c r="K91">
        <v>2.5</v>
      </c>
      <c r="L91">
        <v>1.9</v>
      </c>
      <c r="M91">
        <v>2.2000000000000002</v>
      </c>
      <c r="N91">
        <v>1</v>
      </c>
      <c r="O91" s="2">
        <v>44648</v>
      </c>
      <c r="P91" s="3">
        <v>0.50763888888888897</v>
      </c>
    </row>
    <row r="92" spans="1:17" x14ac:dyDescent="0.35">
      <c r="A92">
        <v>91</v>
      </c>
      <c r="B92" t="s">
        <v>86</v>
      </c>
      <c r="C92" s="47" t="s">
        <v>172</v>
      </c>
      <c r="D92">
        <v>7</v>
      </c>
      <c r="E92" t="s">
        <v>31</v>
      </c>
      <c r="F92" t="s">
        <v>31</v>
      </c>
      <c r="G92">
        <v>0.1308</v>
      </c>
      <c r="H92">
        <v>2.3999999999999998E-3</v>
      </c>
      <c r="I92">
        <f t="shared" si="2"/>
        <v>1.8348623853211006</v>
      </c>
      <c r="K92">
        <v>1</v>
      </c>
      <c r="L92">
        <v>2</v>
      </c>
      <c r="M92">
        <v>2.5</v>
      </c>
      <c r="N92">
        <v>1</v>
      </c>
      <c r="O92" s="2">
        <v>44648</v>
      </c>
      <c r="P92" s="3">
        <v>0.51249999999999996</v>
      </c>
    </row>
    <row r="93" spans="1:17" x14ac:dyDescent="0.35">
      <c r="A93">
        <v>92</v>
      </c>
      <c r="B93" t="s">
        <v>89</v>
      </c>
      <c r="C93" s="47" t="s">
        <v>173</v>
      </c>
      <c r="D93">
        <v>6</v>
      </c>
      <c r="E93" t="s">
        <v>31</v>
      </c>
      <c r="F93" t="s">
        <v>31</v>
      </c>
      <c r="G93">
        <v>7.7200000000000005E-2</v>
      </c>
      <c r="H93">
        <v>4.5999999999999999E-3</v>
      </c>
      <c r="I93">
        <f t="shared" si="2"/>
        <v>5.9585492227979273</v>
      </c>
      <c r="K93">
        <v>2</v>
      </c>
      <c r="L93">
        <v>1.6</v>
      </c>
      <c r="M93">
        <v>2</v>
      </c>
      <c r="N93">
        <v>0</v>
      </c>
      <c r="O93" s="2">
        <v>44648</v>
      </c>
      <c r="P93" s="3">
        <v>0.51944444444444504</v>
      </c>
    </row>
    <row r="94" spans="1:17" x14ac:dyDescent="0.35">
      <c r="A94">
        <v>93</v>
      </c>
      <c r="B94" t="s">
        <v>84</v>
      </c>
      <c r="C94" s="47" t="s">
        <v>85</v>
      </c>
      <c r="D94">
        <v>8</v>
      </c>
      <c r="E94" t="s">
        <v>31</v>
      </c>
      <c r="F94" t="s">
        <v>31</v>
      </c>
      <c r="G94">
        <v>0.125</v>
      </c>
      <c r="H94">
        <v>1.7100000000000001E-2</v>
      </c>
      <c r="I94">
        <f t="shared" si="2"/>
        <v>13.68</v>
      </c>
      <c r="K94">
        <v>3</v>
      </c>
      <c r="L94">
        <v>2</v>
      </c>
      <c r="M94">
        <v>2.4</v>
      </c>
      <c r="N94">
        <v>2</v>
      </c>
      <c r="O94" s="2">
        <v>44648</v>
      </c>
      <c r="P94" s="3">
        <v>0.52430555555555602</v>
      </c>
    </row>
    <row r="95" spans="1:17" x14ac:dyDescent="0.35">
      <c r="A95">
        <v>94</v>
      </c>
      <c r="B95" t="s">
        <v>84</v>
      </c>
      <c r="C95" s="47" t="s">
        <v>85</v>
      </c>
      <c r="D95">
        <v>8</v>
      </c>
      <c r="E95" t="s">
        <v>19</v>
      </c>
      <c r="F95" t="s">
        <v>19</v>
      </c>
      <c r="G95">
        <v>0.17530000000000001</v>
      </c>
      <c r="H95">
        <v>1.4E-3</v>
      </c>
      <c r="I95">
        <f t="shared" si="2"/>
        <v>0.79863091842555611</v>
      </c>
      <c r="K95">
        <v>3</v>
      </c>
      <c r="L95">
        <v>2.4</v>
      </c>
      <c r="M95">
        <v>2.9</v>
      </c>
      <c r="N95">
        <v>2</v>
      </c>
      <c r="O95" s="2">
        <v>44648</v>
      </c>
      <c r="P95" s="3">
        <v>0.52708333333333302</v>
      </c>
    </row>
    <row r="96" spans="1:17" x14ac:dyDescent="0.35">
      <c r="A96">
        <v>95</v>
      </c>
      <c r="B96" t="s">
        <v>86</v>
      </c>
      <c r="C96" s="47" t="s">
        <v>172</v>
      </c>
      <c r="D96">
        <v>7</v>
      </c>
      <c r="E96" t="s">
        <v>19</v>
      </c>
      <c r="F96" t="s">
        <v>19</v>
      </c>
      <c r="G96">
        <v>0.1057</v>
      </c>
      <c r="H96">
        <v>5.9999999999999995E-4</v>
      </c>
      <c r="I96">
        <f t="shared" si="2"/>
        <v>0.56764427625354774</v>
      </c>
      <c r="K96">
        <v>3</v>
      </c>
      <c r="L96">
        <v>1.9</v>
      </c>
      <c r="M96">
        <v>2.2999999999999998</v>
      </c>
      <c r="N96">
        <v>1</v>
      </c>
      <c r="O96" s="2">
        <v>44648</v>
      </c>
      <c r="P96" s="3">
        <v>0.53125</v>
      </c>
    </row>
    <row r="97" spans="1:17" x14ac:dyDescent="0.35">
      <c r="A97">
        <v>96</v>
      </c>
      <c r="B97" t="s">
        <v>86</v>
      </c>
      <c r="C97" s="47" t="s">
        <v>172</v>
      </c>
      <c r="D97">
        <v>7</v>
      </c>
      <c r="E97" t="s">
        <v>91</v>
      </c>
      <c r="F97" t="s">
        <v>91</v>
      </c>
      <c r="G97">
        <v>3.2500000000000001E-2</v>
      </c>
      <c r="I97">
        <f t="shared" si="2"/>
        <v>0</v>
      </c>
      <c r="K97">
        <v>0</v>
      </c>
      <c r="L97">
        <v>1.4</v>
      </c>
      <c r="M97">
        <v>1.7</v>
      </c>
      <c r="N97">
        <v>0</v>
      </c>
      <c r="O97" s="2">
        <v>44648</v>
      </c>
      <c r="P97" s="3">
        <v>0.53472222222222199</v>
      </c>
      <c r="Q97" t="s">
        <v>93</v>
      </c>
    </row>
    <row r="98" spans="1:17" x14ac:dyDescent="0.35">
      <c r="A98">
        <v>97</v>
      </c>
      <c r="B98" t="s">
        <v>94</v>
      </c>
      <c r="C98" s="47" t="s">
        <v>95</v>
      </c>
      <c r="D98">
        <v>5</v>
      </c>
      <c r="E98" t="s">
        <v>19</v>
      </c>
      <c r="F98" t="s">
        <v>19</v>
      </c>
      <c r="G98">
        <v>0.12529999999999999</v>
      </c>
      <c r="H98">
        <v>1.1000000000000001E-3</v>
      </c>
      <c r="I98">
        <f t="shared" ref="I98:I129" si="3">H98/G98*100</f>
        <v>0.87789305666400652</v>
      </c>
      <c r="K98">
        <v>3</v>
      </c>
      <c r="L98">
        <v>2.1</v>
      </c>
      <c r="M98">
        <v>2.5</v>
      </c>
      <c r="N98">
        <v>1</v>
      </c>
      <c r="O98" s="2">
        <v>44648</v>
      </c>
      <c r="P98" s="3">
        <v>0.53749999999999998</v>
      </c>
    </row>
    <row r="99" spans="1:17" x14ac:dyDescent="0.35">
      <c r="A99">
        <v>98</v>
      </c>
      <c r="B99" t="s">
        <v>94</v>
      </c>
      <c r="C99" s="47" t="s">
        <v>95</v>
      </c>
      <c r="D99">
        <v>5</v>
      </c>
      <c r="E99" t="s">
        <v>19</v>
      </c>
      <c r="F99" t="s">
        <v>19</v>
      </c>
      <c r="G99">
        <v>0.10829999999999999</v>
      </c>
      <c r="H99">
        <v>4.0000000000000002E-4</v>
      </c>
      <c r="I99">
        <f t="shared" si="3"/>
        <v>0.36934441366574333</v>
      </c>
      <c r="K99">
        <v>2.5</v>
      </c>
      <c r="L99">
        <v>1.9</v>
      </c>
      <c r="M99">
        <v>2.2999999999999998</v>
      </c>
      <c r="N99">
        <v>1</v>
      </c>
      <c r="O99" s="2">
        <v>44648</v>
      </c>
      <c r="P99" s="3">
        <v>0.54444444444444395</v>
      </c>
    </row>
    <row r="100" spans="1:17" x14ac:dyDescent="0.35">
      <c r="A100">
        <v>99</v>
      </c>
      <c r="B100" t="s">
        <v>86</v>
      </c>
      <c r="C100" s="47" t="s">
        <v>172</v>
      </c>
      <c r="D100">
        <v>7</v>
      </c>
      <c r="E100" t="s">
        <v>19</v>
      </c>
      <c r="F100" t="s">
        <v>19</v>
      </c>
      <c r="G100">
        <v>7.3200000000000001E-2</v>
      </c>
      <c r="I100">
        <f t="shared" si="3"/>
        <v>0</v>
      </c>
      <c r="K100">
        <v>1</v>
      </c>
      <c r="L100">
        <v>1.5</v>
      </c>
      <c r="M100">
        <v>1.9</v>
      </c>
      <c r="N100">
        <v>1</v>
      </c>
      <c r="O100" s="2">
        <v>44648</v>
      </c>
      <c r="P100" s="3">
        <v>0.54861111111111105</v>
      </c>
    </row>
    <row r="101" spans="1:17" x14ac:dyDescent="0.35">
      <c r="A101">
        <v>100</v>
      </c>
      <c r="B101" t="s">
        <v>86</v>
      </c>
      <c r="C101" s="47" t="s">
        <v>172</v>
      </c>
      <c r="D101">
        <v>7</v>
      </c>
      <c r="E101" t="s">
        <v>19</v>
      </c>
      <c r="F101" t="s">
        <v>19</v>
      </c>
      <c r="G101">
        <v>0.11849999999999999</v>
      </c>
      <c r="H101">
        <v>1E-4</v>
      </c>
      <c r="I101">
        <f t="shared" si="3"/>
        <v>8.4388185654008449E-2</v>
      </c>
      <c r="K101">
        <v>3</v>
      </c>
      <c r="L101">
        <v>1.8</v>
      </c>
      <c r="M101">
        <v>2.2000000000000002</v>
      </c>
      <c r="N101">
        <v>1</v>
      </c>
      <c r="O101" s="2">
        <v>44648</v>
      </c>
      <c r="P101" s="3">
        <v>0.55902777777777801</v>
      </c>
    </row>
    <row r="102" spans="1:17" x14ac:dyDescent="0.35">
      <c r="A102">
        <v>101</v>
      </c>
      <c r="B102" t="s">
        <v>94</v>
      </c>
      <c r="C102" s="47" t="s">
        <v>96</v>
      </c>
      <c r="D102">
        <v>5</v>
      </c>
      <c r="E102" t="s">
        <v>31</v>
      </c>
      <c r="F102" t="s">
        <v>31</v>
      </c>
      <c r="G102">
        <v>0.192</v>
      </c>
      <c r="H102">
        <v>1.04E-2</v>
      </c>
      <c r="I102">
        <f t="shared" si="3"/>
        <v>5.4166666666666661</v>
      </c>
      <c r="K102">
        <v>3</v>
      </c>
      <c r="L102">
        <v>2.1</v>
      </c>
      <c r="M102">
        <v>2.6</v>
      </c>
      <c r="N102">
        <v>2</v>
      </c>
      <c r="O102" s="2">
        <v>44648</v>
      </c>
      <c r="P102" s="3">
        <v>0.56111111111111101</v>
      </c>
      <c r="Q102" t="s">
        <v>58</v>
      </c>
    </row>
    <row r="103" spans="1:17" x14ac:dyDescent="0.35">
      <c r="A103">
        <v>102</v>
      </c>
      <c r="B103" t="s">
        <v>94</v>
      </c>
      <c r="C103" s="47" t="s">
        <v>96</v>
      </c>
      <c r="D103">
        <v>5</v>
      </c>
      <c r="E103" t="s">
        <v>31</v>
      </c>
      <c r="F103" t="s">
        <v>31</v>
      </c>
      <c r="G103">
        <v>0.2054</v>
      </c>
      <c r="H103">
        <v>1.78E-2</v>
      </c>
      <c r="I103">
        <f t="shared" si="3"/>
        <v>8.6660175267770203</v>
      </c>
      <c r="J103">
        <f>0.2084-0.2054</f>
        <v>3.0000000000000027E-3</v>
      </c>
      <c r="K103">
        <v>3</v>
      </c>
      <c r="L103">
        <v>2.2000000000000002</v>
      </c>
      <c r="M103">
        <v>2.7</v>
      </c>
      <c r="N103">
        <v>1</v>
      </c>
      <c r="O103" s="2">
        <v>44648</v>
      </c>
      <c r="P103" s="3">
        <v>0.56388888888888899</v>
      </c>
      <c r="Q103" t="s">
        <v>97</v>
      </c>
    </row>
    <row r="104" spans="1:17" x14ac:dyDescent="0.35">
      <c r="A104">
        <v>103</v>
      </c>
      <c r="B104" t="s">
        <v>94</v>
      </c>
      <c r="C104" s="47" t="s">
        <v>95</v>
      </c>
      <c r="D104">
        <v>5</v>
      </c>
      <c r="E104" t="s">
        <v>31</v>
      </c>
      <c r="F104" t="s">
        <v>31</v>
      </c>
      <c r="G104">
        <v>0.1303</v>
      </c>
      <c r="H104">
        <v>4.4000000000000003E-3</v>
      </c>
      <c r="I104">
        <f t="shared" si="3"/>
        <v>3.3768227168073679</v>
      </c>
      <c r="J104">
        <f>0.1371-0.1303</f>
        <v>6.8000000000000005E-3</v>
      </c>
      <c r="K104">
        <v>3</v>
      </c>
      <c r="L104">
        <v>2</v>
      </c>
      <c r="M104">
        <v>2.4</v>
      </c>
      <c r="N104">
        <v>1</v>
      </c>
      <c r="O104" s="2">
        <v>44648</v>
      </c>
      <c r="P104" s="3">
        <v>0.56666666666666698</v>
      </c>
      <c r="Q104" t="s">
        <v>98</v>
      </c>
    </row>
    <row r="105" spans="1:17" x14ac:dyDescent="0.35">
      <c r="A105">
        <v>104</v>
      </c>
      <c r="B105" t="s">
        <v>94</v>
      </c>
      <c r="C105" s="47" t="s">
        <v>95</v>
      </c>
      <c r="D105">
        <v>5</v>
      </c>
      <c r="E105" t="s">
        <v>19</v>
      </c>
      <c r="F105" t="s">
        <v>19</v>
      </c>
      <c r="G105">
        <v>0.1086</v>
      </c>
      <c r="H105">
        <v>5.9999999999999995E-4</v>
      </c>
      <c r="I105">
        <f t="shared" si="3"/>
        <v>0.55248618784530379</v>
      </c>
      <c r="K105">
        <v>3</v>
      </c>
      <c r="L105">
        <v>1.8</v>
      </c>
      <c r="M105">
        <v>2.2000000000000002</v>
      </c>
      <c r="N105">
        <v>1</v>
      </c>
      <c r="O105" s="2">
        <v>44648</v>
      </c>
      <c r="P105" s="3">
        <v>0.57083333333333297</v>
      </c>
    </row>
    <row r="106" spans="1:17" x14ac:dyDescent="0.35">
      <c r="A106">
        <v>105</v>
      </c>
      <c r="B106" t="s">
        <v>94</v>
      </c>
      <c r="C106" s="47" t="s">
        <v>95</v>
      </c>
      <c r="D106">
        <v>5</v>
      </c>
      <c r="E106" t="s">
        <v>91</v>
      </c>
      <c r="F106" t="s">
        <v>91</v>
      </c>
      <c r="G106">
        <v>4.1099999999999998E-2</v>
      </c>
      <c r="I106">
        <f t="shared" si="3"/>
        <v>0</v>
      </c>
      <c r="K106">
        <v>0</v>
      </c>
      <c r="L106">
        <v>1.3</v>
      </c>
      <c r="M106">
        <v>1.7</v>
      </c>
      <c r="N106">
        <v>1</v>
      </c>
      <c r="O106" s="2">
        <v>44648</v>
      </c>
      <c r="P106" s="3">
        <v>0.57638888888888895</v>
      </c>
      <c r="Q106" t="s">
        <v>99</v>
      </c>
    </row>
    <row r="107" spans="1:17" x14ac:dyDescent="0.35">
      <c r="A107">
        <v>106</v>
      </c>
      <c r="B107" t="s">
        <v>94</v>
      </c>
      <c r="C107" s="47" t="s">
        <v>95</v>
      </c>
      <c r="D107">
        <v>5</v>
      </c>
      <c r="E107" t="s">
        <v>31</v>
      </c>
      <c r="F107" t="s">
        <v>31</v>
      </c>
      <c r="G107">
        <v>0.19020000000000001</v>
      </c>
      <c r="H107">
        <v>3.3999999999999998E-3</v>
      </c>
      <c r="I107">
        <f t="shared" si="3"/>
        <v>1.7875920084121977</v>
      </c>
      <c r="K107">
        <v>1</v>
      </c>
      <c r="L107">
        <v>1.9</v>
      </c>
      <c r="M107">
        <v>2.2999999999999998</v>
      </c>
      <c r="N107">
        <v>0</v>
      </c>
      <c r="O107" s="2">
        <v>44648</v>
      </c>
      <c r="P107" s="3">
        <v>0.57916666666666705</v>
      </c>
    </row>
    <row r="108" spans="1:17" x14ac:dyDescent="0.35">
      <c r="A108">
        <v>107</v>
      </c>
      <c r="B108" t="s">
        <v>94</v>
      </c>
      <c r="C108" s="47" t="s">
        <v>95</v>
      </c>
      <c r="D108">
        <v>5</v>
      </c>
      <c r="E108" t="s">
        <v>19</v>
      </c>
      <c r="F108" t="s">
        <v>19</v>
      </c>
      <c r="G108">
        <v>0.1547</v>
      </c>
      <c r="H108">
        <v>4.0000000000000002E-4</v>
      </c>
      <c r="I108">
        <f t="shared" si="3"/>
        <v>0.25856496444731736</v>
      </c>
      <c r="K108">
        <v>3</v>
      </c>
      <c r="L108">
        <v>2.1</v>
      </c>
      <c r="M108">
        <v>2.6</v>
      </c>
      <c r="N108">
        <v>1</v>
      </c>
      <c r="O108" s="2">
        <v>44648</v>
      </c>
      <c r="P108" s="3">
        <v>0.58750000000000002</v>
      </c>
    </row>
    <row r="109" spans="1:17" x14ac:dyDescent="0.35">
      <c r="A109">
        <v>108</v>
      </c>
      <c r="B109" t="s">
        <v>94</v>
      </c>
      <c r="C109" s="47" t="s">
        <v>96</v>
      </c>
      <c r="D109">
        <v>5</v>
      </c>
      <c r="E109" t="s">
        <v>19</v>
      </c>
      <c r="F109" t="s">
        <v>19</v>
      </c>
      <c r="G109">
        <v>0.1618</v>
      </c>
      <c r="H109">
        <v>1.6000000000000001E-3</v>
      </c>
      <c r="I109">
        <f t="shared" si="3"/>
        <v>0.98887515451174302</v>
      </c>
      <c r="K109">
        <v>3</v>
      </c>
      <c r="L109">
        <v>2</v>
      </c>
      <c r="M109">
        <v>2.4</v>
      </c>
      <c r="N109">
        <v>1</v>
      </c>
      <c r="O109" s="2">
        <v>44648</v>
      </c>
      <c r="P109" s="3">
        <v>0.59791666666666698</v>
      </c>
    </row>
    <row r="110" spans="1:17" x14ac:dyDescent="0.35">
      <c r="A110">
        <v>109</v>
      </c>
      <c r="B110" t="s">
        <v>94</v>
      </c>
      <c r="C110" s="47" t="s">
        <v>96</v>
      </c>
      <c r="D110">
        <v>5</v>
      </c>
      <c r="E110" t="s">
        <v>31</v>
      </c>
      <c r="F110" t="s">
        <v>31</v>
      </c>
      <c r="G110">
        <v>0.15540000000000001</v>
      </c>
      <c r="H110">
        <v>6.4000000000000003E-3</v>
      </c>
      <c r="I110">
        <f t="shared" si="3"/>
        <v>4.1184041184041185</v>
      </c>
      <c r="J110">
        <f>0.0083-H110</f>
        <v>1.8999999999999998E-3</v>
      </c>
      <c r="K110">
        <v>3</v>
      </c>
      <c r="L110">
        <v>1.9</v>
      </c>
      <c r="M110">
        <v>2.4</v>
      </c>
      <c r="N110">
        <v>1</v>
      </c>
      <c r="O110" s="2">
        <v>44648</v>
      </c>
      <c r="P110" s="3">
        <v>0.60069444444444398</v>
      </c>
      <c r="Q110" t="s">
        <v>97</v>
      </c>
    </row>
    <row r="111" spans="1:17" x14ac:dyDescent="0.35">
      <c r="A111">
        <v>110</v>
      </c>
      <c r="B111" t="s">
        <v>94</v>
      </c>
      <c r="C111" s="47" t="s">
        <v>96</v>
      </c>
      <c r="D111">
        <v>5</v>
      </c>
      <c r="E111" t="s">
        <v>19</v>
      </c>
      <c r="F111" t="s">
        <v>19</v>
      </c>
      <c r="G111">
        <v>7.3499999999999996E-2</v>
      </c>
      <c r="I111">
        <f t="shared" si="3"/>
        <v>0</v>
      </c>
      <c r="K111">
        <v>2</v>
      </c>
      <c r="L111">
        <v>1.6</v>
      </c>
      <c r="M111">
        <v>2</v>
      </c>
      <c r="N111">
        <v>0</v>
      </c>
      <c r="O111" s="2">
        <v>44648</v>
      </c>
      <c r="P111" s="3">
        <v>0.60694444444444395</v>
      </c>
    </row>
    <row r="112" spans="1:17" x14ac:dyDescent="0.35">
      <c r="A112">
        <v>111</v>
      </c>
      <c r="B112" t="s">
        <v>100</v>
      </c>
      <c r="C112" s="47" t="s">
        <v>101</v>
      </c>
      <c r="D112">
        <v>4</v>
      </c>
      <c r="E112" t="s">
        <v>31</v>
      </c>
      <c r="F112" t="s">
        <v>31</v>
      </c>
      <c r="G112">
        <v>8.3199999999999996E-2</v>
      </c>
      <c r="H112">
        <v>1.4E-3</v>
      </c>
      <c r="I112">
        <f t="shared" si="3"/>
        <v>1.6826923076923077</v>
      </c>
      <c r="K112">
        <v>1</v>
      </c>
      <c r="L112">
        <v>1.6</v>
      </c>
      <c r="M112">
        <v>2</v>
      </c>
      <c r="N112">
        <v>1</v>
      </c>
      <c r="O112" s="2">
        <v>44648</v>
      </c>
      <c r="P112" s="3">
        <v>0.61111111111111105</v>
      </c>
    </row>
    <row r="113" spans="1:17" x14ac:dyDescent="0.35">
      <c r="A113">
        <v>112</v>
      </c>
      <c r="B113" t="s">
        <v>100</v>
      </c>
      <c r="C113" s="47" t="s">
        <v>101</v>
      </c>
      <c r="D113">
        <v>4</v>
      </c>
      <c r="E113" t="s">
        <v>19</v>
      </c>
      <c r="F113" t="s">
        <v>19</v>
      </c>
      <c r="G113">
        <v>0.1341</v>
      </c>
      <c r="H113">
        <v>4.0000000000000002E-4</v>
      </c>
      <c r="I113">
        <f t="shared" si="3"/>
        <v>0.29828486204325133</v>
      </c>
      <c r="K113">
        <v>3</v>
      </c>
      <c r="L113">
        <v>2</v>
      </c>
      <c r="M113">
        <v>2.4</v>
      </c>
      <c r="N113">
        <v>1</v>
      </c>
      <c r="O113" s="2">
        <v>44648</v>
      </c>
      <c r="P113" s="3">
        <v>0.61527777777777803</v>
      </c>
      <c r="Q113" t="s">
        <v>99</v>
      </c>
    </row>
    <row r="114" spans="1:17" x14ac:dyDescent="0.35">
      <c r="A114">
        <v>113</v>
      </c>
      <c r="B114" t="s">
        <v>100</v>
      </c>
      <c r="C114" s="47" t="s">
        <v>101</v>
      </c>
      <c r="D114">
        <v>4</v>
      </c>
      <c r="E114" t="s">
        <v>31</v>
      </c>
      <c r="F114" t="s">
        <v>31</v>
      </c>
      <c r="G114">
        <v>0.11509999999999999</v>
      </c>
      <c r="H114">
        <v>4.4000000000000003E-3</v>
      </c>
      <c r="I114">
        <f t="shared" si="3"/>
        <v>3.8227628149435278</v>
      </c>
      <c r="K114">
        <v>2</v>
      </c>
      <c r="L114">
        <v>1.9</v>
      </c>
      <c r="M114">
        <v>2.2999999999999998</v>
      </c>
      <c r="N114">
        <v>1</v>
      </c>
      <c r="O114" s="2">
        <v>44648</v>
      </c>
      <c r="P114" s="3">
        <v>0.61944444444444502</v>
      </c>
    </row>
    <row r="115" spans="1:17" x14ac:dyDescent="0.35">
      <c r="A115">
        <v>114</v>
      </c>
      <c r="B115" t="s">
        <v>100</v>
      </c>
      <c r="C115" s="47" t="s">
        <v>101</v>
      </c>
      <c r="D115">
        <v>4</v>
      </c>
      <c r="E115" t="s">
        <v>19</v>
      </c>
      <c r="F115" t="s">
        <v>19</v>
      </c>
      <c r="G115">
        <v>7.6499999999999999E-2</v>
      </c>
      <c r="H115">
        <v>5.0000000000000001E-4</v>
      </c>
      <c r="I115">
        <f t="shared" si="3"/>
        <v>0.65359477124183007</v>
      </c>
      <c r="K115">
        <v>2</v>
      </c>
      <c r="L115">
        <v>1.2</v>
      </c>
      <c r="M115">
        <v>1.6</v>
      </c>
      <c r="N115">
        <v>1</v>
      </c>
      <c r="O115" s="2">
        <v>44648</v>
      </c>
      <c r="P115" s="3">
        <v>0.62361111111111101</v>
      </c>
      <c r="Q115" t="s">
        <v>102</v>
      </c>
    </row>
    <row r="116" spans="1:17" x14ac:dyDescent="0.35">
      <c r="A116">
        <v>115</v>
      </c>
      <c r="B116" t="s">
        <v>100</v>
      </c>
      <c r="C116" s="47" t="s">
        <v>101</v>
      </c>
      <c r="D116">
        <v>4</v>
      </c>
      <c r="E116" t="s">
        <v>19</v>
      </c>
      <c r="F116" t="s">
        <v>19</v>
      </c>
      <c r="G116">
        <v>0.12640000000000001</v>
      </c>
      <c r="H116">
        <v>8.0000000000000004E-4</v>
      </c>
      <c r="I116">
        <f t="shared" si="3"/>
        <v>0.63291139240506333</v>
      </c>
      <c r="K116">
        <v>3</v>
      </c>
      <c r="L116">
        <v>2</v>
      </c>
      <c r="M116">
        <v>2.4</v>
      </c>
      <c r="N116">
        <v>1</v>
      </c>
      <c r="O116" s="2">
        <v>44648</v>
      </c>
      <c r="P116" s="3">
        <v>0.62777777777777799</v>
      </c>
      <c r="Q116" t="s">
        <v>103</v>
      </c>
    </row>
    <row r="117" spans="1:17" x14ac:dyDescent="0.35">
      <c r="A117">
        <v>116</v>
      </c>
      <c r="B117" t="s">
        <v>100</v>
      </c>
      <c r="C117" s="47" t="s">
        <v>101</v>
      </c>
      <c r="D117">
        <v>4</v>
      </c>
      <c r="E117" t="s">
        <v>19</v>
      </c>
      <c r="F117" t="s">
        <v>19</v>
      </c>
      <c r="G117">
        <v>9.3299999999999994E-2</v>
      </c>
      <c r="H117">
        <v>5.9999999999999995E-4</v>
      </c>
      <c r="I117">
        <f t="shared" si="3"/>
        <v>0.64308681672025725</v>
      </c>
      <c r="K117">
        <v>3</v>
      </c>
      <c r="L117">
        <v>1.7</v>
      </c>
      <c r="M117">
        <v>2.1</v>
      </c>
      <c r="N117">
        <v>1</v>
      </c>
      <c r="O117" s="2">
        <v>44648</v>
      </c>
      <c r="P117" s="3">
        <v>0.63124999999999998</v>
      </c>
    </row>
    <row r="118" spans="1:17" x14ac:dyDescent="0.35">
      <c r="A118">
        <v>117</v>
      </c>
      <c r="B118" t="s">
        <v>100</v>
      </c>
      <c r="C118" s="47" t="s">
        <v>101</v>
      </c>
      <c r="D118">
        <v>4</v>
      </c>
      <c r="E118" t="s">
        <v>31</v>
      </c>
      <c r="F118" t="s">
        <v>31</v>
      </c>
      <c r="G118">
        <v>9.5600000000000004E-2</v>
      </c>
      <c r="H118">
        <v>3.5999999999999999E-3</v>
      </c>
      <c r="I118">
        <f t="shared" si="3"/>
        <v>3.765690376569037</v>
      </c>
      <c r="K118">
        <v>1</v>
      </c>
      <c r="L118">
        <v>1.7</v>
      </c>
      <c r="M118">
        <v>2.1</v>
      </c>
      <c r="N118">
        <v>1</v>
      </c>
      <c r="O118" s="2">
        <v>44648</v>
      </c>
      <c r="P118" s="3">
        <v>0.63611111111111096</v>
      </c>
    </row>
    <row r="119" spans="1:17" x14ac:dyDescent="0.35">
      <c r="A119">
        <v>118</v>
      </c>
      <c r="B119" t="s">
        <v>100</v>
      </c>
      <c r="C119" s="47" t="s">
        <v>101</v>
      </c>
      <c r="D119">
        <v>4</v>
      </c>
      <c r="E119" t="s">
        <v>19</v>
      </c>
      <c r="F119" t="s">
        <v>19</v>
      </c>
      <c r="G119">
        <v>9.7500000000000003E-2</v>
      </c>
      <c r="H119">
        <v>5.0000000000000001E-4</v>
      </c>
      <c r="I119">
        <f t="shared" si="3"/>
        <v>0.51282051282051277</v>
      </c>
      <c r="K119">
        <v>3</v>
      </c>
      <c r="L119">
        <v>1.7</v>
      </c>
      <c r="M119">
        <v>2.1</v>
      </c>
      <c r="N119">
        <v>1</v>
      </c>
      <c r="O119" s="2">
        <v>44648</v>
      </c>
      <c r="P119" s="3">
        <v>0.64027777777777795</v>
      </c>
    </row>
    <row r="120" spans="1:17" x14ac:dyDescent="0.35">
      <c r="A120">
        <v>119</v>
      </c>
      <c r="B120" t="s">
        <v>100</v>
      </c>
      <c r="C120" s="47" t="s">
        <v>104</v>
      </c>
      <c r="D120">
        <v>4</v>
      </c>
      <c r="E120" t="s">
        <v>19</v>
      </c>
      <c r="F120" t="s">
        <v>19</v>
      </c>
      <c r="G120">
        <v>0.17960000000000001</v>
      </c>
      <c r="H120">
        <v>1.4E-3</v>
      </c>
      <c r="I120">
        <f t="shared" si="3"/>
        <v>0.77951002227171484</v>
      </c>
      <c r="K120">
        <v>3</v>
      </c>
      <c r="L120">
        <v>2.1</v>
      </c>
      <c r="M120">
        <v>2.5</v>
      </c>
      <c r="N120">
        <v>1</v>
      </c>
      <c r="O120" s="2">
        <v>44648</v>
      </c>
      <c r="P120" s="3">
        <v>0.64791666666666703</v>
      </c>
      <c r="Q120" t="s">
        <v>99</v>
      </c>
    </row>
    <row r="121" spans="1:17" x14ac:dyDescent="0.35">
      <c r="A121">
        <v>120</v>
      </c>
      <c r="B121" t="s">
        <v>100</v>
      </c>
      <c r="C121" s="47" t="s">
        <v>104</v>
      </c>
      <c r="D121">
        <v>4</v>
      </c>
      <c r="E121" t="s">
        <v>31</v>
      </c>
      <c r="F121" t="s">
        <v>31</v>
      </c>
      <c r="G121">
        <v>0.2006</v>
      </c>
      <c r="H121">
        <v>1.41E-2</v>
      </c>
      <c r="I121">
        <f t="shared" si="3"/>
        <v>7.0289132602193423</v>
      </c>
      <c r="K121">
        <v>2</v>
      </c>
      <c r="L121">
        <v>2</v>
      </c>
      <c r="M121">
        <v>2.5</v>
      </c>
      <c r="N121">
        <v>1</v>
      </c>
      <c r="O121" s="2">
        <v>44648</v>
      </c>
      <c r="P121" s="3">
        <v>0.65347222222222201</v>
      </c>
    </row>
    <row r="122" spans="1:17" x14ac:dyDescent="0.35">
      <c r="A122">
        <v>121</v>
      </c>
      <c r="B122" t="s">
        <v>100</v>
      </c>
      <c r="C122" s="47" t="s">
        <v>104</v>
      </c>
      <c r="D122">
        <v>4</v>
      </c>
      <c r="E122" t="s">
        <v>19</v>
      </c>
      <c r="F122" t="s">
        <v>19</v>
      </c>
      <c r="G122">
        <v>0.14799999999999999</v>
      </c>
      <c r="H122">
        <v>6.9999999999999999E-4</v>
      </c>
      <c r="I122">
        <f t="shared" si="3"/>
        <v>0.47297297297297303</v>
      </c>
      <c r="K122">
        <v>3</v>
      </c>
      <c r="L122">
        <v>2</v>
      </c>
      <c r="M122">
        <v>2.4</v>
      </c>
      <c r="N122">
        <v>1</v>
      </c>
      <c r="O122" s="2">
        <v>44648</v>
      </c>
      <c r="P122" s="3">
        <v>0.66944444444444395</v>
      </c>
      <c r="Q122" t="s">
        <v>105</v>
      </c>
    </row>
    <row r="123" spans="1:17" x14ac:dyDescent="0.35">
      <c r="A123">
        <v>122</v>
      </c>
      <c r="B123" t="s">
        <v>100</v>
      </c>
      <c r="C123" s="47" t="s">
        <v>104</v>
      </c>
      <c r="D123">
        <v>4</v>
      </c>
      <c r="E123" t="s">
        <v>31</v>
      </c>
      <c r="F123" t="s">
        <v>31</v>
      </c>
      <c r="G123">
        <v>0.19239999999999999</v>
      </c>
      <c r="H123">
        <v>9.4000000000000004E-3</v>
      </c>
      <c r="I123">
        <f t="shared" si="3"/>
        <v>4.885654885654886</v>
      </c>
      <c r="J123">
        <f>0.2029-G123</f>
        <v>1.0500000000000009E-2</v>
      </c>
      <c r="K123">
        <v>2</v>
      </c>
      <c r="L123">
        <v>2.2000000000000002</v>
      </c>
      <c r="M123">
        <v>2.7</v>
      </c>
      <c r="N123">
        <v>2</v>
      </c>
      <c r="O123" s="2">
        <v>44648</v>
      </c>
      <c r="P123" s="3">
        <v>0.67430555555555605</v>
      </c>
      <c r="Q123" t="s">
        <v>106</v>
      </c>
    </row>
    <row r="124" spans="1:17" x14ac:dyDescent="0.35">
      <c r="A124">
        <v>123</v>
      </c>
      <c r="B124" t="s">
        <v>107</v>
      </c>
      <c r="C124" s="47" t="s">
        <v>174</v>
      </c>
      <c r="D124">
        <v>3</v>
      </c>
      <c r="E124" t="s">
        <v>31</v>
      </c>
      <c r="F124" t="s">
        <v>31</v>
      </c>
      <c r="G124">
        <v>5.3400000000000003E-2</v>
      </c>
      <c r="H124">
        <v>2.0000000000000001E-4</v>
      </c>
      <c r="I124">
        <f t="shared" si="3"/>
        <v>0.37453183520599254</v>
      </c>
      <c r="K124">
        <v>1</v>
      </c>
      <c r="L124">
        <v>1.5</v>
      </c>
      <c r="M124">
        <v>1.8</v>
      </c>
      <c r="N124">
        <v>0</v>
      </c>
      <c r="O124" s="2">
        <v>44648</v>
      </c>
      <c r="P124" s="3">
        <v>0.67986111111111103</v>
      </c>
    </row>
    <row r="125" spans="1:17" x14ac:dyDescent="0.35">
      <c r="A125">
        <v>124</v>
      </c>
      <c r="B125" t="s">
        <v>107</v>
      </c>
      <c r="C125" s="47" t="s">
        <v>174</v>
      </c>
      <c r="D125">
        <v>3</v>
      </c>
      <c r="E125" t="s">
        <v>91</v>
      </c>
      <c r="F125" t="s">
        <v>91</v>
      </c>
      <c r="G125">
        <v>3.2000000000000001E-2</v>
      </c>
      <c r="I125">
        <f t="shared" si="3"/>
        <v>0</v>
      </c>
      <c r="K125">
        <v>0</v>
      </c>
      <c r="L125">
        <v>1.3</v>
      </c>
      <c r="M125">
        <v>1.5</v>
      </c>
      <c r="N125">
        <v>0</v>
      </c>
      <c r="O125" s="2">
        <v>44648</v>
      </c>
      <c r="P125" s="3">
        <v>0.68402777777777801</v>
      </c>
    </row>
    <row r="126" spans="1:17" x14ac:dyDescent="0.35">
      <c r="A126">
        <v>125</v>
      </c>
      <c r="B126" t="s">
        <v>107</v>
      </c>
      <c r="C126" s="47" t="s">
        <v>174</v>
      </c>
      <c r="D126">
        <v>3</v>
      </c>
      <c r="F126" t="s">
        <v>19</v>
      </c>
      <c r="G126">
        <v>9.0700000000000003E-2</v>
      </c>
      <c r="I126">
        <f t="shared" si="3"/>
        <v>0</v>
      </c>
      <c r="K126">
        <v>1</v>
      </c>
      <c r="L126">
        <v>1.7</v>
      </c>
      <c r="M126">
        <v>2</v>
      </c>
      <c r="N126">
        <v>1</v>
      </c>
      <c r="O126" s="2">
        <v>44648</v>
      </c>
      <c r="P126" s="3">
        <v>0.68888888888888899</v>
      </c>
      <c r="Q126" t="s">
        <v>108</v>
      </c>
    </row>
    <row r="127" spans="1:17" x14ac:dyDescent="0.35">
      <c r="A127">
        <v>126</v>
      </c>
      <c r="B127" t="s">
        <v>107</v>
      </c>
      <c r="C127" s="47" t="s">
        <v>174</v>
      </c>
      <c r="D127">
        <v>3</v>
      </c>
      <c r="E127" t="s">
        <v>91</v>
      </c>
      <c r="F127" t="s">
        <v>19</v>
      </c>
      <c r="G127">
        <v>5.96E-2</v>
      </c>
      <c r="I127">
        <f t="shared" si="3"/>
        <v>0</v>
      </c>
      <c r="K127">
        <v>1</v>
      </c>
      <c r="L127">
        <v>1.6</v>
      </c>
      <c r="M127">
        <v>1.9</v>
      </c>
      <c r="N127">
        <v>1</v>
      </c>
      <c r="O127" s="2">
        <v>44648</v>
      </c>
      <c r="P127" s="3">
        <v>0.69513888888888897</v>
      </c>
    </row>
    <row r="128" spans="1:17" x14ac:dyDescent="0.35">
      <c r="A128">
        <v>127</v>
      </c>
      <c r="B128" t="s">
        <v>107</v>
      </c>
      <c r="C128" s="47" t="s">
        <v>174</v>
      </c>
      <c r="D128">
        <v>3</v>
      </c>
      <c r="E128" t="s">
        <v>91</v>
      </c>
      <c r="F128" t="s">
        <v>91</v>
      </c>
      <c r="G128">
        <v>2.3699999999999999E-2</v>
      </c>
      <c r="I128">
        <f t="shared" si="3"/>
        <v>0</v>
      </c>
      <c r="K128">
        <v>0</v>
      </c>
      <c r="L128">
        <v>1.1000000000000001</v>
      </c>
      <c r="M128">
        <v>1.3</v>
      </c>
      <c r="N128">
        <v>0</v>
      </c>
      <c r="O128" s="2">
        <v>44648</v>
      </c>
      <c r="P128" s="3">
        <v>0.70069444444444395</v>
      </c>
    </row>
    <row r="129" spans="1:17" x14ac:dyDescent="0.35">
      <c r="A129">
        <v>128</v>
      </c>
      <c r="B129" t="s">
        <v>107</v>
      </c>
      <c r="C129" s="47" t="s">
        <v>174</v>
      </c>
      <c r="D129">
        <v>3</v>
      </c>
      <c r="E129" t="s">
        <v>31</v>
      </c>
      <c r="F129" t="s">
        <v>31</v>
      </c>
      <c r="G129">
        <v>4.9500000000000002E-2</v>
      </c>
      <c r="H129">
        <v>4.0000000000000002E-4</v>
      </c>
      <c r="I129">
        <f t="shared" si="3"/>
        <v>0.80808080808080807</v>
      </c>
      <c r="K129">
        <v>1</v>
      </c>
      <c r="L129">
        <v>1.5</v>
      </c>
      <c r="M129">
        <v>1.8</v>
      </c>
      <c r="N129">
        <v>0</v>
      </c>
      <c r="O129" s="2">
        <v>44648</v>
      </c>
      <c r="P129" s="3">
        <v>0.70416666666666705</v>
      </c>
    </row>
    <row r="130" spans="1:17" x14ac:dyDescent="0.35">
      <c r="A130">
        <v>129</v>
      </c>
      <c r="B130" t="s">
        <v>107</v>
      </c>
      <c r="C130" s="47" t="s">
        <v>174</v>
      </c>
      <c r="D130">
        <v>3</v>
      </c>
      <c r="E130" t="s">
        <v>19</v>
      </c>
      <c r="F130" t="s">
        <v>19</v>
      </c>
      <c r="G130">
        <v>9.6600000000000005E-2</v>
      </c>
      <c r="H130">
        <v>2.0000000000000001E-4</v>
      </c>
      <c r="I130">
        <f t="shared" ref="I130:I146" si="4">H130/G130*100</f>
        <v>0.20703933747412009</v>
      </c>
      <c r="K130">
        <v>2</v>
      </c>
      <c r="L130">
        <v>1.6</v>
      </c>
      <c r="M130">
        <v>2</v>
      </c>
      <c r="N130">
        <v>1</v>
      </c>
      <c r="O130" s="2">
        <v>44648</v>
      </c>
      <c r="P130" s="3">
        <v>0.70902777777777803</v>
      </c>
    </row>
    <row r="131" spans="1:17" x14ac:dyDescent="0.35">
      <c r="A131">
        <v>130</v>
      </c>
      <c r="B131" t="s">
        <v>107</v>
      </c>
      <c r="C131" s="47" t="s">
        <v>174</v>
      </c>
      <c r="D131">
        <v>3</v>
      </c>
      <c r="E131" t="s">
        <v>19</v>
      </c>
      <c r="F131" t="s">
        <v>19</v>
      </c>
      <c r="G131">
        <v>0.16569999999999999</v>
      </c>
      <c r="H131">
        <v>6.9999999999999999E-4</v>
      </c>
      <c r="I131">
        <f t="shared" si="4"/>
        <v>0.42245021122510562</v>
      </c>
      <c r="K131">
        <v>3</v>
      </c>
      <c r="L131">
        <v>2</v>
      </c>
      <c r="M131">
        <v>2.5</v>
      </c>
      <c r="N131">
        <v>1</v>
      </c>
      <c r="O131" s="2">
        <v>44648</v>
      </c>
      <c r="P131" s="3">
        <v>0.71319444444444502</v>
      </c>
      <c r="Q131" t="s">
        <v>105</v>
      </c>
    </row>
    <row r="132" spans="1:17" x14ac:dyDescent="0.35">
      <c r="A132">
        <v>131</v>
      </c>
      <c r="B132" t="s">
        <v>107</v>
      </c>
      <c r="C132" s="47" t="s">
        <v>109</v>
      </c>
      <c r="D132">
        <v>3</v>
      </c>
      <c r="E132" t="s">
        <v>91</v>
      </c>
      <c r="F132" t="s">
        <v>19</v>
      </c>
      <c r="G132">
        <v>6.2E-2</v>
      </c>
      <c r="I132">
        <f t="shared" si="4"/>
        <v>0</v>
      </c>
      <c r="K132">
        <v>2.5</v>
      </c>
      <c r="L132">
        <v>1.5</v>
      </c>
      <c r="M132">
        <v>1.9</v>
      </c>
      <c r="N132">
        <v>1</v>
      </c>
      <c r="O132" s="2">
        <v>44649</v>
      </c>
      <c r="P132" s="3">
        <v>0.71319444444444502</v>
      </c>
    </row>
    <row r="133" spans="1:17" x14ac:dyDescent="0.35">
      <c r="A133">
        <v>132</v>
      </c>
      <c r="B133" t="s">
        <v>107</v>
      </c>
      <c r="C133" s="47" t="s">
        <v>109</v>
      </c>
      <c r="D133">
        <v>3</v>
      </c>
      <c r="E133" t="s">
        <v>31</v>
      </c>
      <c r="F133" t="s">
        <v>31</v>
      </c>
      <c r="G133">
        <v>6.4100000000000004E-2</v>
      </c>
      <c r="H133">
        <v>1.6000000000000001E-3</v>
      </c>
      <c r="I133">
        <f t="shared" si="4"/>
        <v>2.4960998439937598</v>
      </c>
      <c r="K133">
        <v>1.5</v>
      </c>
      <c r="L133">
        <v>1.5</v>
      </c>
      <c r="M133">
        <v>1.8</v>
      </c>
      <c r="N133">
        <v>1</v>
      </c>
      <c r="O133" s="2">
        <v>44649</v>
      </c>
      <c r="P133" s="3">
        <v>0.71319444444444502</v>
      </c>
    </row>
    <row r="134" spans="1:17" x14ac:dyDescent="0.35">
      <c r="A134">
        <v>133</v>
      </c>
      <c r="B134" t="s">
        <v>110</v>
      </c>
      <c r="C134" s="47" t="s">
        <v>175</v>
      </c>
      <c r="D134">
        <v>2</v>
      </c>
      <c r="E134" t="s">
        <v>19</v>
      </c>
      <c r="F134" t="s">
        <v>19</v>
      </c>
      <c r="G134">
        <v>8.4900000000000003E-2</v>
      </c>
      <c r="H134">
        <v>5.0000000000000001E-4</v>
      </c>
      <c r="I134">
        <f t="shared" si="4"/>
        <v>0.58892815076560656</v>
      </c>
      <c r="K134">
        <v>3</v>
      </c>
      <c r="L134">
        <v>1.7</v>
      </c>
      <c r="M134">
        <v>2.1</v>
      </c>
      <c r="N134">
        <v>1</v>
      </c>
      <c r="O134" s="2">
        <v>44649</v>
      </c>
      <c r="P134" s="3">
        <v>0.71319444444444502</v>
      </c>
      <c r="Q134" t="s">
        <v>111</v>
      </c>
    </row>
    <row r="135" spans="1:17" x14ac:dyDescent="0.35">
      <c r="A135">
        <v>134</v>
      </c>
      <c r="B135" t="s">
        <v>110</v>
      </c>
      <c r="C135" s="47" t="s">
        <v>175</v>
      </c>
      <c r="D135">
        <v>2</v>
      </c>
      <c r="E135" t="s">
        <v>31</v>
      </c>
      <c r="F135" t="s">
        <v>31</v>
      </c>
      <c r="G135">
        <v>0.1149</v>
      </c>
      <c r="H135">
        <v>2.5000000000000001E-3</v>
      </c>
      <c r="I135">
        <f t="shared" si="4"/>
        <v>2.1758050478677111</v>
      </c>
      <c r="K135">
        <v>1.5</v>
      </c>
      <c r="L135">
        <v>1.8</v>
      </c>
      <c r="M135">
        <v>2.2000000000000002</v>
      </c>
      <c r="N135">
        <v>1</v>
      </c>
      <c r="O135" s="2">
        <v>44649</v>
      </c>
      <c r="P135" s="3">
        <v>0.71319444444444502</v>
      </c>
    </row>
    <row r="136" spans="1:17" x14ac:dyDescent="0.35">
      <c r="A136">
        <v>135</v>
      </c>
      <c r="B136" t="s">
        <v>110</v>
      </c>
      <c r="C136" s="47" t="s">
        <v>175</v>
      </c>
      <c r="D136">
        <v>2</v>
      </c>
      <c r="E136" t="s">
        <v>91</v>
      </c>
      <c r="F136" t="s">
        <v>91</v>
      </c>
      <c r="G136">
        <v>3.5299999999999998E-2</v>
      </c>
      <c r="I136">
        <f t="shared" si="4"/>
        <v>0</v>
      </c>
      <c r="K136">
        <v>0.5</v>
      </c>
      <c r="L136">
        <v>1.3</v>
      </c>
      <c r="M136">
        <v>1.5</v>
      </c>
      <c r="N136">
        <v>1</v>
      </c>
      <c r="O136" s="2">
        <v>44649</v>
      </c>
      <c r="P136" s="3">
        <v>0.71319444444444502</v>
      </c>
    </row>
    <row r="137" spans="1:17" x14ac:dyDescent="0.35">
      <c r="A137">
        <v>136</v>
      </c>
      <c r="B137" t="s">
        <v>110</v>
      </c>
      <c r="C137" s="47" t="s">
        <v>176</v>
      </c>
      <c r="D137">
        <v>2</v>
      </c>
      <c r="E137" t="s">
        <v>91</v>
      </c>
      <c r="F137" t="s">
        <v>91</v>
      </c>
      <c r="G137">
        <v>5.9299999999999999E-2</v>
      </c>
      <c r="I137">
        <f t="shared" si="4"/>
        <v>0</v>
      </c>
      <c r="K137">
        <v>0</v>
      </c>
      <c r="L137">
        <v>1.5</v>
      </c>
      <c r="M137">
        <v>1.9</v>
      </c>
      <c r="N137">
        <v>1</v>
      </c>
      <c r="O137" s="2">
        <v>44649</v>
      </c>
      <c r="P137" s="3">
        <v>0.71319444444444502</v>
      </c>
      <c r="Q137" t="s">
        <v>112</v>
      </c>
    </row>
    <row r="138" spans="1:17" x14ac:dyDescent="0.35">
      <c r="A138">
        <v>137</v>
      </c>
      <c r="B138" t="s">
        <v>107</v>
      </c>
      <c r="C138" s="47" t="s">
        <v>109</v>
      </c>
      <c r="D138">
        <v>3</v>
      </c>
      <c r="E138" t="s">
        <v>91</v>
      </c>
      <c r="F138" t="s">
        <v>31</v>
      </c>
      <c r="G138">
        <v>4.7100000000000003E-2</v>
      </c>
      <c r="I138">
        <f t="shared" si="4"/>
        <v>0</v>
      </c>
      <c r="K138">
        <v>0.5</v>
      </c>
      <c r="L138">
        <v>1.4</v>
      </c>
      <c r="M138">
        <v>1.7</v>
      </c>
      <c r="N138">
        <v>1</v>
      </c>
      <c r="O138" s="2">
        <v>44649</v>
      </c>
      <c r="P138" s="3">
        <v>0.71319444444444502</v>
      </c>
    </row>
    <row r="139" spans="1:17" x14ac:dyDescent="0.35">
      <c r="A139">
        <v>138</v>
      </c>
      <c r="B139" t="s">
        <v>107</v>
      </c>
      <c r="C139" s="47" t="s">
        <v>109</v>
      </c>
      <c r="D139">
        <v>3</v>
      </c>
      <c r="E139" t="s">
        <v>91</v>
      </c>
      <c r="F139" t="s">
        <v>91</v>
      </c>
      <c r="G139">
        <v>5.6899999999999999E-2</v>
      </c>
      <c r="I139">
        <f t="shared" si="4"/>
        <v>0</v>
      </c>
      <c r="K139">
        <v>0</v>
      </c>
      <c r="L139">
        <v>1.5</v>
      </c>
      <c r="M139">
        <v>1.8</v>
      </c>
      <c r="N139">
        <v>1</v>
      </c>
      <c r="O139" s="2">
        <v>44649</v>
      </c>
      <c r="P139" s="3">
        <v>0.71319444444444502</v>
      </c>
      <c r="Q139" t="s">
        <v>113</v>
      </c>
    </row>
    <row r="140" spans="1:17" x14ac:dyDescent="0.35">
      <c r="A140">
        <v>139</v>
      </c>
      <c r="B140" t="s">
        <v>110</v>
      </c>
      <c r="C140" s="47" t="s">
        <v>175</v>
      </c>
      <c r="D140">
        <v>2</v>
      </c>
      <c r="E140" t="s">
        <v>91</v>
      </c>
      <c r="F140" t="s">
        <v>31</v>
      </c>
      <c r="G140">
        <v>1.9800000000000002E-2</v>
      </c>
      <c r="I140">
        <f t="shared" si="4"/>
        <v>0</v>
      </c>
      <c r="K140">
        <v>1</v>
      </c>
      <c r="L140">
        <v>1</v>
      </c>
      <c r="M140">
        <v>1.25</v>
      </c>
      <c r="N140">
        <v>0</v>
      </c>
      <c r="O140" s="2">
        <v>44649</v>
      </c>
      <c r="P140" s="3">
        <v>0.71319444444444502</v>
      </c>
    </row>
    <row r="141" spans="1:17" x14ac:dyDescent="0.35">
      <c r="A141">
        <v>140</v>
      </c>
      <c r="B141" t="s">
        <v>110</v>
      </c>
      <c r="C141" s="47" t="s">
        <v>175</v>
      </c>
      <c r="D141">
        <v>2</v>
      </c>
      <c r="E141" t="s">
        <v>91</v>
      </c>
      <c r="F141" t="s">
        <v>19</v>
      </c>
      <c r="G141">
        <v>6.7900000000000002E-2</v>
      </c>
      <c r="I141">
        <f t="shared" si="4"/>
        <v>0</v>
      </c>
      <c r="K141">
        <v>2</v>
      </c>
      <c r="L141">
        <v>1.6</v>
      </c>
      <c r="M141">
        <v>1.9</v>
      </c>
      <c r="N141">
        <v>1</v>
      </c>
      <c r="O141" s="2">
        <v>44649</v>
      </c>
      <c r="P141" s="3">
        <v>0.71319444444444502</v>
      </c>
    </row>
    <row r="142" spans="1:17" x14ac:dyDescent="0.35">
      <c r="A142">
        <v>141</v>
      </c>
      <c r="B142" t="s">
        <v>110</v>
      </c>
      <c r="C142" s="47" t="s">
        <v>176</v>
      </c>
      <c r="D142">
        <v>2</v>
      </c>
      <c r="E142" t="s">
        <v>91</v>
      </c>
      <c r="F142" t="s">
        <v>31</v>
      </c>
      <c r="G142">
        <v>3.5400000000000001E-2</v>
      </c>
      <c r="I142">
        <f t="shared" si="4"/>
        <v>0</v>
      </c>
      <c r="K142">
        <v>0.5</v>
      </c>
      <c r="L142">
        <v>1.2</v>
      </c>
      <c r="M142">
        <v>1.5</v>
      </c>
      <c r="N142">
        <v>0</v>
      </c>
      <c r="O142" s="2">
        <v>44649</v>
      </c>
      <c r="P142" s="3">
        <v>0.71319444444444502</v>
      </c>
    </row>
    <row r="143" spans="1:17" x14ac:dyDescent="0.35">
      <c r="A143">
        <v>142</v>
      </c>
      <c r="B143" t="s">
        <v>110</v>
      </c>
      <c r="C143" s="47" t="s">
        <v>176</v>
      </c>
      <c r="D143">
        <v>2</v>
      </c>
      <c r="E143" t="s">
        <v>31</v>
      </c>
      <c r="F143" t="s">
        <v>91</v>
      </c>
      <c r="G143">
        <v>5.6099999999999997E-2</v>
      </c>
      <c r="I143">
        <f t="shared" si="4"/>
        <v>0</v>
      </c>
      <c r="K143">
        <v>0</v>
      </c>
      <c r="L143">
        <v>1.4</v>
      </c>
      <c r="M143">
        <v>1.7</v>
      </c>
      <c r="N143">
        <v>1</v>
      </c>
      <c r="O143" s="2">
        <v>44649</v>
      </c>
      <c r="P143" s="3">
        <v>0.71319444444444502</v>
      </c>
      <c r="Q143" t="s">
        <v>113</v>
      </c>
    </row>
    <row r="144" spans="1:17" x14ac:dyDescent="0.35">
      <c r="A144">
        <v>143</v>
      </c>
      <c r="B144" t="s">
        <v>107</v>
      </c>
      <c r="C144" s="47" t="s">
        <v>109</v>
      </c>
      <c r="D144">
        <v>3</v>
      </c>
      <c r="E144" t="s">
        <v>91</v>
      </c>
      <c r="F144" t="s">
        <v>31</v>
      </c>
      <c r="G144">
        <v>3.5700000000000003E-2</v>
      </c>
      <c r="H144">
        <v>2.0000000000000001E-4</v>
      </c>
      <c r="I144">
        <f t="shared" si="4"/>
        <v>0.56022408963585435</v>
      </c>
      <c r="K144">
        <v>1</v>
      </c>
      <c r="L144">
        <v>1.3</v>
      </c>
      <c r="M144">
        <v>1.5</v>
      </c>
      <c r="N144">
        <v>1</v>
      </c>
      <c r="O144" s="2">
        <v>44649</v>
      </c>
      <c r="P144" s="3">
        <v>0.71319444444444502</v>
      </c>
    </row>
    <row r="145" spans="1:17" x14ac:dyDescent="0.35">
      <c r="A145">
        <v>144</v>
      </c>
      <c r="B145" t="s">
        <v>107</v>
      </c>
      <c r="C145" s="47" t="s">
        <v>109</v>
      </c>
      <c r="D145">
        <v>3</v>
      </c>
      <c r="E145" t="s">
        <v>31</v>
      </c>
      <c r="F145" t="s">
        <v>91</v>
      </c>
      <c r="G145">
        <v>4.5999999999999999E-2</v>
      </c>
      <c r="I145">
        <f t="shared" si="4"/>
        <v>0</v>
      </c>
      <c r="K145">
        <v>0</v>
      </c>
      <c r="L145">
        <v>1.3</v>
      </c>
      <c r="M145">
        <v>1.7</v>
      </c>
      <c r="N145">
        <v>1</v>
      </c>
      <c r="O145" s="2">
        <v>44649</v>
      </c>
      <c r="P145" s="3">
        <v>0.71319444444444502</v>
      </c>
      <c r="Q145" t="s">
        <v>114</v>
      </c>
    </row>
    <row r="146" spans="1:17" x14ac:dyDescent="0.35">
      <c r="A146">
        <v>145</v>
      </c>
      <c r="B146" t="s">
        <v>107</v>
      </c>
      <c r="C146" s="47" t="s">
        <v>109</v>
      </c>
      <c r="D146">
        <v>3</v>
      </c>
      <c r="E146" t="s">
        <v>91</v>
      </c>
      <c r="F146" t="s">
        <v>19</v>
      </c>
      <c r="G146">
        <v>0.1464</v>
      </c>
      <c r="H146">
        <v>6.9999999999999999E-4</v>
      </c>
      <c r="I146">
        <f t="shared" si="4"/>
        <v>0.47814207650273227</v>
      </c>
      <c r="K146">
        <v>3</v>
      </c>
      <c r="L146">
        <v>2</v>
      </c>
      <c r="M146">
        <v>2.5</v>
      </c>
      <c r="N146">
        <v>1</v>
      </c>
      <c r="O146" s="2">
        <v>44649</v>
      </c>
      <c r="P146" s="3">
        <v>0.71319444444444502</v>
      </c>
    </row>
  </sheetData>
  <conditionalFormatting sqref="D1:D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5"/>
  <sheetViews>
    <sheetView zoomScaleNormal="100" workbookViewId="0">
      <selection activeCell="O7" sqref="O7"/>
    </sheetView>
  </sheetViews>
  <sheetFormatPr defaultColWidth="8.453125" defaultRowHeight="14.5" x14ac:dyDescent="0.35"/>
  <cols>
    <col min="2" max="3" width="13.54296875" customWidth="1"/>
    <col min="4" max="4" width="16.81640625" customWidth="1"/>
    <col min="5" max="5" width="17.81640625" customWidth="1"/>
    <col min="6" max="6" width="15.26953125" customWidth="1"/>
    <col min="9" max="9" width="10" customWidth="1"/>
    <col min="10" max="10" width="13" customWidth="1"/>
    <col min="11" max="12" width="17.81640625" customWidth="1"/>
    <col min="13" max="13" width="13.81640625" customWidth="1"/>
    <col min="16" max="16" width="10" customWidth="1"/>
    <col min="17" max="17" width="13" customWidth="1"/>
  </cols>
  <sheetData>
    <row r="1" spans="1:17" x14ac:dyDescent="0.35">
      <c r="A1" s="15" t="s">
        <v>0</v>
      </c>
      <c r="B1" s="15" t="s">
        <v>3</v>
      </c>
      <c r="C1" s="15" t="s">
        <v>116</v>
      </c>
      <c r="D1" s="15" t="s">
        <v>117</v>
      </c>
      <c r="E1" s="15" t="s">
        <v>118</v>
      </c>
      <c r="F1" s="15" t="s">
        <v>119</v>
      </c>
      <c r="G1" s="15" t="s">
        <v>120</v>
      </c>
      <c r="H1" s="15" t="s">
        <v>121</v>
      </c>
      <c r="I1" s="15" t="s">
        <v>169</v>
      </c>
      <c r="J1" s="15" t="s">
        <v>123</v>
      </c>
      <c r="K1" s="15" t="s">
        <v>124</v>
      </c>
      <c r="L1" s="15" t="s">
        <v>125</v>
      </c>
      <c r="M1" s="15" t="s">
        <v>126</v>
      </c>
      <c r="N1" s="15" t="s">
        <v>127</v>
      </c>
      <c r="O1" s="15" t="s">
        <v>128</v>
      </c>
      <c r="P1" s="15" t="s">
        <v>170</v>
      </c>
      <c r="Q1" s="15" t="s">
        <v>129</v>
      </c>
    </row>
    <row r="2" spans="1:17" x14ac:dyDescent="0.35">
      <c r="A2">
        <v>1</v>
      </c>
      <c r="B2">
        <v>29</v>
      </c>
      <c r="C2" t="str">
        <f>VLOOKUP(A2, Dissect!A:Q, 6)</f>
        <v>M</v>
      </c>
      <c r="D2" t="s">
        <v>130</v>
      </c>
      <c r="E2" s="2">
        <v>44881</v>
      </c>
      <c r="F2">
        <v>84.9</v>
      </c>
      <c r="G2">
        <v>1.9</v>
      </c>
      <c r="H2">
        <v>1.4</v>
      </c>
      <c r="I2">
        <v>48.5</v>
      </c>
      <c r="J2">
        <f t="shared" ref="J2:J33" si="0">I2*F2</f>
        <v>4117.6500000000005</v>
      </c>
      <c r="K2" s="2">
        <v>44895</v>
      </c>
      <c r="L2" s="2" t="s">
        <v>131</v>
      </c>
      <c r="M2">
        <v>206</v>
      </c>
      <c r="N2">
        <v>2.2000000000000002</v>
      </c>
      <c r="O2" s="16">
        <v>2.25</v>
      </c>
      <c r="P2">
        <v>43.5</v>
      </c>
      <c r="Q2">
        <f t="shared" ref="Q2:Q33" si="1">M2*P2</f>
        <v>8961</v>
      </c>
    </row>
    <row r="3" spans="1:17" x14ac:dyDescent="0.35">
      <c r="A3">
        <v>2</v>
      </c>
      <c r="B3">
        <v>28</v>
      </c>
      <c r="C3" t="str">
        <f>VLOOKUP(A3, Dissect!A:Q, 6)</f>
        <v>M</v>
      </c>
      <c r="D3" t="s">
        <v>130</v>
      </c>
      <c r="E3" s="2">
        <v>44881</v>
      </c>
      <c r="F3">
        <v>306</v>
      </c>
      <c r="G3">
        <v>1.9</v>
      </c>
      <c r="H3">
        <v>2.2999999999999998</v>
      </c>
      <c r="I3">
        <v>48.5</v>
      </c>
      <c r="J3">
        <f t="shared" si="0"/>
        <v>14841</v>
      </c>
      <c r="K3" s="2">
        <v>44895</v>
      </c>
      <c r="L3" s="2" t="s">
        <v>131</v>
      </c>
      <c r="M3">
        <v>297</v>
      </c>
      <c r="N3">
        <v>2.2000000000000002</v>
      </c>
      <c r="O3" s="16">
        <v>2.02</v>
      </c>
      <c r="P3">
        <v>43.5</v>
      </c>
      <c r="Q3">
        <f t="shared" si="1"/>
        <v>12919.5</v>
      </c>
    </row>
    <row r="4" spans="1:17" x14ac:dyDescent="0.35">
      <c r="A4">
        <v>3</v>
      </c>
      <c r="B4">
        <v>27</v>
      </c>
      <c r="C4" t="str">
        <f>VLOOKUP(A4, Dissect!A:Q, 6)</f>
        <v>M</v>
      </c>
      <c r="D4" t="s">
        <v>130</v>
      </c>
      <c r="E4" s="2">
        <v>44881</v>
      </c>
      <c r="F4">
        <v>35</v>
      </c>
      <c r="G4">
        <v>1.9</v>
      </c>
      <c r="H4">
        <v>-24</v>
      </c>
      <c r="I4">
        <v>48.5</v>
      </c>
      <c r="J4">
        <f t="shared" si="0"/>
        <v>1697.5</v>
      </c>
      <c r="K4" s="2">
        <v>44895</v>
      </c>
      <c r="L4" s="2" t="s">
        <v>131</v>
      </c>
      <c r="M4">
        <v>31</v>
      </c>
      <c r="N4">
        <v>2.1</v>
      </c>
      <c r="O4" s="16">
        <v>1.57</v>
      </c>
      <c r="P4">
        <v>43.5</v>
      </c>
      <c r="Q4">
        <f t="shared" si="1"/>
        <v>1348.5</v>
      </c>
    </row>
    <row r="5" spans="1:17" x14ac:dyDescent="0.35">
      <c r="A5">
        <v>4</v>
      </c>
      <c r="B5">
        <v>25</v>
      </c>
      <c r="C5" t="str">
        <f>VLOOKUP(A5, Dissect!A:Q, 6)</f>
        <v>F</v>
      </c>
      <c r="D5" t="s">
        <v>130</v>
      </c>
      <c r="E5" s="2">
        <v>44881</v>
      </c>
      <c r="F5">
        <v>126</v>
      </c>
      <c r="G5">
        <v>1.9</v>
      </c>
      <c r="H5">
        <v>0.2</v>
      </c>
      <c r="I5">
        <v>48.5</v>
      </c>
      <c r="J5">
        <f t="shared" si="0"/>
        <v>6111</v>
      </c>
      <c r="K5" s="2">
        <v>44895</v>
      </c>
      <c r="L5" s="2" t="s">
        <v>131</v>
      </c>
      <c r="M5">
        <v>195</v>
      </c>
      <c r="N5">
        <v>2.2000000000000002</v>
      </c>
      <c r="O5" s="16">
        <v>1.45</v>
      </c>
      <c r="P5">
        <v>43.5</v>
      </c>
      <c r="Q5">
        <f t="shared" si="1"/>
        <v>8482.5</v>
      </c>
    </row>
    <row r="6" spans="1:17" x14ac:dyDescent="0.35">
      <c r="A6">
        <v>5</v>
      </c>
      <c r="B6">
        <v>23</v>
      </c>
      <c r="C6" t="str">
        <f>VLOOKUP(A6, Dissect!A:Q, 6)</f>
        <v>F</v>
      </c>
      <c r="D6" t="s">
        <v>130</v>
      </c>
      <c r="E6" s="2">
        <v>44881</v>
      </c>
      <c r="F6">
        <v>60</v>
      </c>
      <c r="G6">
        <v>1.9</v>
      </c>
      <c r="H6">
        <v>7.3</v>
      </c>
      <c r="I6">
        <v>48.5</v>
      </c>
      <c r="J6">
        <f t="shared" si="0"/>
        <v>2910</v>
      </c>
      <c r="K6" s="2">
        <v>44895</v>
      </c>
      <c r="L6" s="2" t="s">
        <v>131</v>
      </c>
      <c r="M6">
        <v>246</v>
      </c>
      <c r="N6">
        <v>2.2000000000000002</v>
      </c>
      <c r="O6" s="16">
        <v>1.87</v>
      </c>
      <c r="P6">
        <v>43.5</v>
      </c>
      <c r="Q6">
        <f t="shared" si="1"/>
        <v>10701</v>
      </c>
    </row>
    <row r="7" spans="1:17" x14ac:dyDescent="0.35">
      <c r="A7">
        <v>6</v>
      </c>
      <c r="B7">
        <v>21</v>
      </c>
      <c r="C7" t="str">
        <f>VLOOKUP(A7, Dissect!A:Q, 6)</f>
        <v>F</v>
      </c>
      <c r="D7" t="s">
        <v>130</v>
      </c>
      <c r="E7" s="2">
        <v>44881</v>
      </c>
      <c r="F7">
        <v>216</v>
      </c>
      <c r="G7">
        <v>1.9</v>
      </c>
      <c r="H7">
        <v>1.5</v>
      </c>
      <c r="I7">
        <v>48.5</v>
      </c>
      <c r="J7">
        <f t="shared" si="0"/>
        <v>10476</v>
      </c>
      <c r="K7" s="2">
        <v>44895</v>
      </c>
      <c r="L7" s="2" t="s">
        <v>131</v>
      </c>
      <c r="M7">
        <v>592</v>
      </c>
      <c r="N7">
        <v>2.2000000000000002</v>
      </c>
      <c r="O7" s="16">
        <v>2.19</v>
      </c>
      <c r="P7">
        <v>43.5</v>
      </c>
      <c r="Q7">
        <f t="shared" si="1"/>
        <v>25752</v>
      </c>
    </row>
    <row r="8" spans="1:17" x14ac:dyDescent="0.35">
      <c r="A8">
        <v>7</v>
      </c>
      <c r="B8">
        <v>29</v>
      </c>
      <c r="C8" t="str">
        <f>VLOOKUP(A8, Dissect!A:Q, 6)</f>
        <v>F</v>
      </c>
      <c r="D8" t="s">
        <v>130</v>
      </c>
      <c r="E8" s="2">
        <v>44881</v>
      </c>
      <c r="F8">
        <v>100</v>
      </c>
      <c r="G8">
        <v>1.9</v>
      </c>
      <c r="H8">
        <v>3.1</v>
      </c>
      <c r="I8">
        <v>48.5</v>
      </c>
      <c r="J8">
        <f t="shared" si="0"/>
        <v>4850</v>
      </c>
      <c r="K8" s="2">
        <v>44895</v>
      </c>
      <c r="L8" s="2" t="s">
        <v>131</v>
      </c>
      <c r="M8">
        <v>390</v>
      </c>
      <c r="N8">
        <v>2.2000000000000002</v>
      </c>
      <c r="O8" s="16">
        <v>2.21</v>
      </c>
      <c r="P8">
        <v>43.5</v>
      </c>
      <c r="Q8">
        <f t="shared" si="1"/>
        <v>16965</v>
      </c>
    </row>
    <row r="9" spans="1:17" x14ac:dyDescent="0.35">
      <c r="A9">
        <v>8</v>
      </c>
      <c r="B9">
        <v>28</v>
      </c>
      <c r="C9" t="str">
        <f>VLOOKUP(A9, Dissect!A:Q, 6)</f>
        <v>F</v>
      </c>
      <c r="D9" t="s">
        <v>130</v>
      </c>
      <c r="E9" s="2">
        <v>44881</v>
      </c>
      <c r="F9">
        <v>95</v>
      </c>
      <c r="G9">
        <v>1.9</v>
      </c>
      <c r="H9">
        <v>1.2</v>
      </c>
      <c r="I9">
        <v>48.5</v>
      </c>
      <c r="J9">
        <f t="shared" si="0"/>
        <v>4607.5</v>
      </c>
      <c r="K9" s="2">
        <v>44895</v>
      </c>
      <c r="L9" s="2" t="s">
        <v>131</v>
      </c>
      <c r="M9">
        <v>923</v>
      </c>
      <c r="N9">
        <v>2.2000000000000002</v>
      </c>
      <c r="O9" s="16">
        <v>2.06</v>
      </c>
      <c r="P9">
        <v>43.5</v>
      </c>
      <c r="Q9">
        <f t="shared" si="1"/>
        <v>40150.5</v>
      </c>
    </row>
    <row r="10" spans="1:17" x14ac:dyDescent="0.35">
      <c r="A10">
        <v>9</v>
      </c>
      <c r="B10">
        <v>27</v>
      </c>
      <c r="C10" t="str">
        <f>VLOOKUP(A10, Dissect!A:Q, 6)</f>
        <v>F</v>
      </c>
      <c r="D10" t="s">
        <v>130</v>
      </c>
      <c r="E10" s="2">
        <v>44881</v>
      </c>
      <c r="F10">
        <v>324</v>
      </c>
      <c r="G10">
        <v>2</v>
      </c>
      <c r="H10">
        <v>2.6</v>
      </c>
      <c r="I10">
        <v>48.5</v>
      </c>
      <c r="J10">
        <f t="shared" si="0"/>
        <v>15714</v>
      </c>
      <c r="K10" s="2">
        <v>44895</v>
      </c>
      <c r="L10" s="2" t="s">
        <v>131</v>
      </c>
      <c r="M10">
        <v>488</v>
      </c>
      <c r="N10">
        <v>2.2000000000000002</v>
      </c>
      <c r="O10" s="16">
        <v>2.2200000000000002</v>
      </c>
      <c r="P10">
        <v>43.5</v>
      </c>
      <c r="Q10">
        <f t="shared" si="1"/>
        <v>21228</v>
      </c>
    </row>
    <row r="11" spans="1:17" x14ac:dyDescent="0.35">
      <c r="A11">
        <v>10</v>
      </c>
      <c r="B11">
        <v>25</v>
      </c>
      <c r="C11" t="str">
        <f>VLOOKUP(A11, Dissect!A:Q, 6)</f>
        <v>M</v>
      </c>
      <c r="D11" t="s">
        <v>130</v>
      </c>
      <c r="E11" s="2">
        <v>44881</v>
      </c>
      <c r="F11">
        <v>266</v>
      </c>
      <c r="G11">
        <v>1.9</v>
      </c>
      <c r="H11">
        <v>1.7</v>
      </c>
      <c r="I11">
        <v>48.5</v>
      </c>
      <c r="J11">
        <f t="shared" si="0"/>
        <v>12901</v>
      </c>
      <c r="K11" s="2">
        <v>44895</v>
      </c>
      <c r="L11" s="2" t="s">
        <v>131</v>
      </c>
      <c r="M11">
        <v>604</v>
      </c>
      <c r="N11">
        <v>2.2000000000000002</v>
      </c>
      <c r="O11" s="16">
        <v>2.2799999999999998</v>
      </c>
      <c r="P11">
        <v>43.5</v>
      </c>
      <c r="Q11">
        <f t="shared" si="1"/>
        <v>26274</v>
      </c>
    </row>
    <row r="12" spans="1:17" x14ac:dyDescent="0.35">
      <c r="A12">
        <v>11</v>
      </c>
      <c r="B12">
        <v>25</v>
      </c>
      <c r="C12" t="str">
        <f>VLOOKUP(A12, Dissect!A:Q, 6)</f>
        <v>F</v>
      </c>
      <c r="D12" t="s">
        <v>130</v>
      </c>
      <c r="E12" s="2">
        <v>44881</v>
      </c>
      <c r="F12">
        <v>94</v>
      </c>
      <c r="G12">
        <v>1.9</v>
      </c>
      <c r="H12">
        <v>4.5</v>
      </c>
      <c r="I12">
        <v>48.5</v>
      </c>
      <c r="J12">
        <f t="shared" si="0"/>
        <v>4559</v>
      </c>
      <c r="K12" s="2">
        <v>44895</v>
      </c>
      <c r="L12" s="2" t="s">
        <v>131</v>
      </c>
      <c r="M12">
        <v>594</v>
      </c>
      <c r="N12">
        <v>2.2000000000000002</v>
      </c>
      <c r="O12" s="16">
        <v>2.25</v>
      </c>
      <c r="P12">
        <v>43.5</v>
      </c>
      <c r="Q12">
        <f t="shared" si="1"/>
        <v>25839</v>
      </c>
    </row>
    <row r="13" spans="1:17" x14ac:dyDescent="0.35">
      <c r="A13">
        <v>12</v>
      </c>
      <c r="B13">
        <v>23</v>
      </c>
      <c r="C13" t="str">
        <f>VLOOKUP(A13, Dissect!A:Q, 6)</f>
        <v>F</v>
      </c>
      <c r="D13" t="s">
        <v>130</v>
      </c>
      <c r="E13" s="2">
        <v>44881</v>
      </c>
      <c r="F13">
        <v>113</v>
      </c>
      <c r="G13">
        <v>1.9</v>
      </c>
      <c r="H13">
        <v>3.4</v>
      </c>
      <c r="I13">
        <v>48.5</v>
      </c>
      <c r="J13">
        <f t="shared" si="0"/>
        <v>5480.5</v>
      </c>
      <c r="K13" s="2">
        <v>44895</v>
      </c>
      <c r="L13" s="2" t="s">
        <v>131</v>
      </c>
      <c r="M13">
        <v>499</v>
      </c>
      <c r="N13">
        <v>2.2000000000000002</v>
      </c>
      <c r="O13" s="16">
        <v>1.94</v>
      </c>
      <c r="P13">
        <v>43.5</v>
      </c>
      <c r="Q13">
        <f t="shared" si="1"/>
        <v>21706.5</v>
      </c>
    </row>
    <row r="14" spans="1:17" x14ac:dyDescent="0.35">
      <c r="A14">
        <v>13</v>
      </c>
      <c r="B14">
        <v>23</v>
      </c>
      <c r="C14" t="str">
        <f>VLOOKUP(A14, Dissect!A:Q, 6)</f>
        <v>F</v>
      </c>
      <c r="D14" t="s">
        <v>130</v>
      </c>
      <c r="E14" s="2">
        <v>44881</v>
      </c>
      <c r="F14">
        <v>90</v>
      </c>
      <c r="G14">
        <v>1.9</v>
      </c>
      <c r="H14">
        <v>4.5999999999999996</v>
      </c>
      <c r="I14">
        <v>48.5</v>
      </c>
      <c r="J14">
        <f t="shared" si="0"/>
        <v>4365</v>
      </c>
      <c r="K14" s="2">
        <v>44895</v>
      </c>
      <c r="L14" s="2" t="s">
        <v>131</v>
      </c>
      <c r="M14">
        <v>352</v>
      </c>
      <c r="N14">
        <v>2.2000000000000002</v>
      </c>
      <c r="O14" s="16">
        <v>0.54</v>
      </c>
      <c r="P14">
        <v>43.5</v>
      </c>
      <c r="Q14">
        <f t="shared" si="1"/>
        <v>15312</v>
      </c>
    </row>
    <row r="15" spans="1:17" x14ac:dyDescent="0.35">
      <c r="A15">
        <v>14</v>
      </c>
      <c r="B15">
        <v>21</v>
      </c>
      <c r="C15" t="str">
        <f>VLOOKUP(A15, Dissect!A:Q, 6)</f>
        <v>M</v>
      </c>
      <c r="D15" t="s">
        <v>130</v>
      </c>
      <c r="E15" s="2">
        <v>44881</v>
      </c>
      <c r="F15">
        <v>127</v>
      </c>
      <c r="G15">
        <v>1.9</v>
      </c>
      <c r="H15">
        <v>3.3</v>
      </c>
      <c r="I15">
        <v>48.5</v>
      </c>
      <c r="J15">
        <f t="shared" si="0"/>
        <v>6159.5</v>
      </c>
      <c r="K15" s="2">
        <v>44895</v>
      </c>
      <c r="L15" s="2" t="s">
        <v>131</v>
      </c>
      <c r="M15">
        <v>342</v>
      </c>
      <c r="N15">
        <v>2.2000000000000002</v>
      </c>
      <c r="O15" s="16">
        <v>1.98</v>
      </c>
      <c r="P15">
        <v>43.5</v>
      </c>
      <c r="Q15">
        <f t="shared" si="1"/>
        <v>14877</v>
      </c>
    </row>
    <row r="16" spans="1:17" x14ac:dyDescent="0.35">
      <c r="A16">
        <v>15</v>
      </c>
      <c r="B16">
        <v>21</v>
      </c>
      <c r="C16" t="str">
        <f>VLOOKUP(A16, Dissect!A:Q, 6)</f>
        <v>F</v>
      </c>
      <c r="D16" t="s">
        <v>130</v>
      </c>
      <c r="E16" s="2">
        <v>44881</v>
      </c>
      <c r="F16">
        <v>60</v>
      </c>
      <c r="G16">
        <v>1.9</v>
      </c>
      <c r="H16">
        <v>4.3</v>
      </c>
      <c r="I16">
        <v>48.5</v>
      </c>
      <c r="J16">
        <f t="shared" si="0"/>
        <v>2910</v>
      </c>
      <c r="K16" s="2">
        <v>44895</v>
      </c>
      <c r="L16" s="2" t="s">
        <v>131</v>
      </c>
      <c r="M16">
        <v>969</v>
      </c>
      <c r="N16">
        <v>2.2000000000000002</v>
      </c>
      <c r="O16" s="16">
        <v>2.21</v>
      </c>
      <c r="P16">
        <v>43.5</v>
      </c>
      <c r="Q16">
        <f t="shared" si="1"/>
        <v>42151.5</v>
      </c>
    </row>
    <row r="17" spans="1:17" x14ac:dyDescent="0.35">
      <c r="A17">
        <v>16</v>
      </c>
      <c r="B17">
        <v>29</v>
      </c>
      <c r="C17" t="str">
        <f>VLOOKUP(A17, Dissect!A:Q, 6)</f>
        <v>F</v>
      </c>
      <c r="D17" t="s">
        <v>130</v>
      </c>
      <c r="E17" s="2">
        <v>44881</v>
      </c>
      <c r="F17">
        <v>150</v>
      </c>
      <c r="G17">
        <v>1.9</v>
      </c>
      <c r="H17">
        <v>2.7</v>
      </c>
      <c r="I17">
        <v>48.5</v>
      </c>
      <c r="J17">
        <f t="shared" si="0"/>
        <v>7275</v>
      </c>
      <c r="K17" s="2">
        <v>44895</v>
      </c>
      <c r="L17" s="2" t="s">
        <v>131</v>
      </c>
      <c r="M17">
        <v>531</v>
      </c>
      <c r="N17">
        <v>2.2000000000000002</v>
      </c>
      <c r="O17" s="16">
        <v>2.16</v>
      </c>
      <c r="P17">
        <v>43.5</v>
      </c>
      <c r="Q17">
        <f t="shared" si="1"/>
        <v>23098.5</v>
      </c>
    </row>
    <row r="18" spans="1:17" x14ac:dyDescent="0.35">
      <c r="A18">
        <v>17</v>
      </c>
      <c r="B18">
        <v>27</v>
      </c>
      <c r="C18" t="s">
        <v>31</v>
      </c>
      <c r="D18" t="s">
        <v>130</v>
      </c>
      <c r="E18" s="2">
        <v>44881</v>
      </c>
      <c r="F18">
        <v>93</v>
      </c>
      <c r="G18">
        <v>1.9</v>
      </c>
      <c r="H18">
        <v>3.4</v>
      </c>
      <c r="I18">
        <v>48.5</v>
      </c>
      <c r="J18">
        <f t="shared" si="0"/>
        <v>4510.5</v>
      </c>
      <c r="K18" s="2">
        <v>44895</v>
      </c>
      <c r="L18" s="2" t="s">
        <v>131</v>
      </c>
      <c r="M18">
        <v>211</v>
      </c>
      <c r="N18">
        <v>2.2000000000000002</v>
      </c>
      <c r="O18" s="16">
        <v>2.21</v>
      </c>
      <c r="P18">
        <v>43.5</v>
      </c>
      <c r="Q18">
        <f t="shared" si="1"/>
        <v>9178.5</v>
      </c>
    </row>
    <row r="19" spans="1:17" x14ac:dyDescent="0.35">
      <c r="A19">
        <v>18</v>
      </c>
      <c r="B19">
        <v>27</v>
      </c>
      <c r="C19" t="str">
        <f>VLOOKUP(A19, Dissect!A:Q, 6)</f>
        <v>M</v>
      </c>
      <c r="D19" t="s">
        <v>130</v>
      </c>
      <c r="E19" s="2">
        <v>44881</v>
      </c>
      <c r="F19">
        <v>135</v>
      </c>
      <c r="G19">
        <v>1.9</v>
      </c>
      <c r="H19">
        <v>3.7</v>
      </c>
      <c r="I19">
        <v>48.5</v>
      </c>
      <c r="J19">
        <f t="shared" si="0"/>
        <v>6547.5</v>
      </c>
      <c r="K19" s="2">
        <v>44895</v>
      </c>
      <c r="L19" s="2" t="s">
        <v>131</v>
      </c>
      <c r="M19">
        <v>303</v>
      </c>
      <c r="N19">
        <v>2.2000000000000002</v>
      </c>
      <c r="O19" s="16">
        <v>2.14</v>
      </c>
      <c r="P19">
        <v>43.5</v>
      </c>
      <c r="Q19">
        <f t="shared" si="1"/>
        <v>13180.5</v>
      </c>
    </row>
    <row r="20" spans="1:17" x14ac:dyDescent="0.35">
      <c r="A20">
        <v>19</v>
      </c>
      <c r="B20">
        <v>28</v>
      </c>
      <c r="C20" t="str">
        <f>VLOOKUP(A20, Dissect!A:Q, 6)</f>
        <v>F</v>
      </c>
      <c r="D20" t="s">
        <v>130</v>
      </c>
      <c r="E20" s="2">
        <v>44881</v>
      </c>
      <c r="F20">
        <v>56</v>
      </c>
      <c r="G20">
        <v>1.9</v>
      </c>
      <c r="H20">
        <v>0.4</v>
      </c>
      <c r="I20">
        <v>48.5</v>
      </c>
      <c r="J20">
        <f t="shared" si="0"/>
        <v>2716</v>
      </c>
      <c r="K20" s="2">
        <v>44895</v>
      </c>
      <c r="L20" s="2" t="s">
        <v>131</v>
      </c>
      <c r="M20">
        <v>216</v>
      </c>
      <c r="N20">
        <v>2.2000000000000002</v>
      </c>
      <c r="O20" s="16">
        <v>1.99</v>
      </c>
      <c r="P20">
        <v>43.5</v>
      </c>
      <c r="Q20">
        <f t="shared" si="1"/>
        <v>9396</v>
      </c>
    </row>
    <row r="21" spans="1:17" x14ac:dyDescent="0.35">
      <c r="A21">
        <v>20</v>
      </c>
      <c r="B21">
        <v>28</v>
      </c>
      <c r="C21" t="str">
        <f>VLOOKUP(A21, Dissect!A:Q, 6)</f>
        <v>M</v>
      </c>
      <c r="D21" t="s">
        <v>130</v>
      </c>
      <c r="E21" s="2">
        <v>44881</v>
      </c>
      <c r="F21">
        <v>145</v>
      </c>
      <c r="G21">
        <v>1.9</v>
      </c>
      <c r="H21">
        <v>3.2</v>
      </c>
      <c r="I21">
        <v>48.5</v>
      </c>
      <c r="J21">
        <f t="shared" si="0"/>
        <v>7032.5</v>
      </c>
      <c r="K21" s="2">
        <v>44895</v>
      </c>
      <c r="L21" s="2" t="s">
        <v>131</v>
      </c>
      <c r="M21">
        <v>406</v>
      </c>
      <c r="N21">
        <v>2.2000000000000002</v>
      </c>
      <c r="O21" s="16">
        <v>2.1800000000000002</v>
      </c>
      <c r="P21">
        <v>43.5</v>
      </c>
      <c r="Q21">
        <f t="shared" si="1"/>
        <v>17661</v>
      </c>
    </row>
    <row r="22" spans="1:17" x14ac:dyDescent="0.35">
      <c r="A22">
        <v>21</v>
      </c>
      <c r="B22">
        <v>21</v>
      </c>
      <c r="C22" t="str">
        <f>VLOOKUP(A22, Dissect!A:Q, 6)</f>
        <v>F</v>
      </c>
      <c r="D22" t="s">
        <v>130</v>
      </c>
      <c r="E22" s="2">
        <v>44881</v>
      </c>
      <c r="F22">
        <v>21</v>
      </c>
      <c r="G22">
        <v>1.8</v>
      </c>
      <c r="H22">
        <v>-2</v>
      </c>
      <c r="I22">
        <v>48.5</v>
      </c>
      <c r="J22">
        <f t="shared" si="0"/>
        <v>1018.5</v>
      </c>
      <c r="K22" s="2">
        <v>44895</v>
      </c>
      <c r="L22" s="2" t="s">
        <v>131</v>
      </c>
      <c r="M22">
        <v>93</v>
      </c>
      <c r="N22">
        <v>2.1</v>
      </c>
      <c r="O22" s="16">
        <v>2.08</v>
      </c>
      <c r="P22">
        <v>43.5</v>
      </c>
      <c r="Q22">
        <f t="shared" si="1"/>
        <v>4045.5</v>
      </c>
    </row>
    <row r="23" spans="1:17" x14ac:dyDescent="0.35">
      <c r="A23">
        <v>22</v>
      </c>
      <c r="B23">
        <v>21</v>
      </c>
      <c r="C23" t="str">
        <f>VLOOKUP(A23, Dissect!A:Q, 6)</f>
        <v>M</v>
      </c>
      <c r="D23" t="s">
        <v>130</v>
      </c>
      <c r="E23" s="2">
        <v>44881</v>
      </c>
      <c r="F23">
        <v>112</v>
      </c>
      <c r="G23">
        <v>1.9</v>
      </c>
      <c r="H23">
        <v>3.3</v>
      </c>
      <c r="I23">
        <v>48.5</v>
      </c>
      <c r="J23">
        <f t="shared" si="0"/>
        <v>5432</v>
      </c>
      <c r="K23" s="2">
        <v>44895</v>
      </c>
      <c r="L23" s="2" t="s">
        <v>131</v>
      </c>
      <c r="M23">
        <v>100</v>
      </c>
      <c r="N23">
        <v>2.1</v>
      </c>
      <c r="O23" s="16">
        <v>1.56</v>
      </c>
      <c r="P23">
        <v>43.5</v>
      </c>
      <c r="Q23">
        <f t="shared" si="1"/>
        <v>4350</v>
      </c>
    </row>
    <row r="24" spans="1:17" x14ac:dyDescent="0.35">
      <c r="A24">
        <v>23</v>
      </c>
      <c r="B24">
        <v>19</v>
      </c>
      <c r="C24" t="str">
        <f>VLOOKUP(A24, Dissect!A:Q, 6)</f>
        <v>F</v>
      </c>
      <c r="D24" t="s">
        <v>130</v>
      </c>
      <c r="E24" s="2">
        <v>44881</v>
      </c>
      <c r="F24">
        <v>72</v>
      </c>
      <c r="G24">
        <v>1.9</v>
      </c>
      <c r="H24">
        <v>5.6</v>
      </c>
      <c r="I24">
        <v>48.5</v>
      </c>
      <c r="J24">
        <f t="shared" si="0"/>
        <v>3492</v>
      </c>
      <c r="K24" s="2">
        <v>44895</v>
      </c>
      <c r="L24" s="2" t="s">
        <v>131</v>
      </c>
      <c r="M24">
        <v>144</v>
      </c>
      <c r="N24">
        <v>2.1</v>
      </c>
      <c r="O24">
        <v>1.8</v>
      </c>
      <c r="P24">
        <v>43.5</v>
      </c>
      <c r="Q24">
        <f t="shared" si="1"/>
        <v>6264</v>
      </c>
    </row>
    <row r="25" spans="1:17" x14ac:dyDescent="0.35">
      <c r="A25">
        <v>24</v>
      </c>
      <c r="B25">
        <v>19</v>
      </c>
      <c r="C25" t="str">
        <f>VLOOKUP(A25, Dissect!A:Q, 6)</f>
        <v>F</v>
      </c>
      <c r="D25" t="s">
        <v>130</v>
      </c>
      <c r="E25" s="2">
        <v>44881</v>
      </c>
      <c r="F25">
        <v>151</v>
      </c>
      <c r="G25">
        <v>1.9</v>
      </c>
      <c r="H25">
        <v>0.75</v>
      </c>
      <c r="I25">
        <v>48.5</v>
      </c>
      <c r="J25">
        <f t="shared" si="0"/>
        <v>7323.5</v>
      </c>
      <c r="K25" s="2">
        <v>44895</v>
      </c>
      <c r="L25" s="2" t="s">
        <v>131</v>
      </c>
      <c r="M25">
        <v>624</v>
      </c>
      <c r="N25">
        <v>2.2000000000000002</v>
      </c>
      <c r="O25">
        <v>1.9</v>
      </c>
      <c r="P25">
        <v>43.5</v>
      </c>
      <c r="Q25">
        <f t="shared" si="1"/>
        <v>27144</v>
      </c>
    </row>
    <row r="26" spans="1:17" x14ac:dyDescent="0.35">
      <c r="A26">
        <v>25</v>
      </c>
      <c r="B26">
        <v>17</v>
      </c>
      <c r="C26" t="str">
        <f>VLOOKUP(A26, Dissect!A:Q, 6)</f>
        <v>M</v>
      </c>
      <c r="D26" t="s">
        <v>130</v>
      </c>
      <c r="E26" s="2">
        <v>44881</v>
      </c>
      <c r="F26">
        <v>90</v>
      </c>
      <c r="G26">
        <v>1.9</v>
      </c>
      <c r="H26">
        <v>3.9</v>
      </c>
      <c r="I26">
        <v>48.5</v>
      </c>
      <c r="J26">
        <f t="shared" si="0"/>
        <v>4365</v>
      </c>
      <c r="K26" s="2">
        <v>44896</v>
      </c>
      <c r="L26" s="2" t="s">
        <v>131</v>
      </c>
      <c r="M26">
        <v>240</v>
      </c>
      <c r="N26">
        <v>2.1</v>
      </c>
      <c r="O26" s="16">
        <v>1.95</v>
      </c>
      <c r="P26">
        <v>43.5</v>
      </c>
      <c r="Q26">
        <f t="shared" si="1"/>
        <v>10440</v>
      </c>
    </row>
    <row r="27" spans="1:17" x14ac:dyDescent="0.35">
      <c r="A27">
        <v>26</v>
      </c>
      <c r="B27">
        <v>17</v>
      </c>
      <c r="C27" t="str">
        <f>VLOOKUP(A27, Dissect!A:Q, 6)</f>
        <v>F</v>
      </c>
      <c r="D27" t="s">
        <v>130</v>
      </c>
      <c r="E27" s="2">
        <v>44881</v>
      </c>
      <c r="F27">
        <v>70</v>
      </c>
      <c r="G27">
        <v>1.9</v>
      </c>
      <c r="H27">
        <v>3.9</v>
      </c>
      <c r="I27">
        <v>48.5</v>
      </c>
      <c r="J27">
        <f t="shared" si="0"/>
        <v>3395</v>
      </c>
      <c r="K27" s="2">
        <v>44896</v>
      </c>
      <c r="L27" s="2" t="s">
        <v>131</v>
      </c>
      <c r="M27">
        <v>362</v>
      </c>
      <c r="N27">
        <v>2.2000000000000002</v>
      </c>
      <c r="O27" s="16">
        <v>1.96</v>
      </c>
      <c r="P27">
        <v>43.5</v>
      </c>
      <c r="Q27">
        <f t="shared" si="1"/>
        <v>15747</v>
      </c>
    </row>
    <row r="28" spans="1:17" x14ac:dyDescent="0.35">
      <c r="A28">
        <v>27</v>
      </c>
      <c r="B28">
        <v>19</v>
      </c>
      <c r="C28" t="str">
        <f>VLOOKUP(A28, Dissect!A:Q, 6)</f>
        <v>M</v>
      </c>
      <c r="D28" t="s">
        <v>130</v>
      </c>
      <c r="E28" s="2">
        <v>44881</v>
      </c>
      <c r="F28">
        <v>57</v>
      </c>
      <c r="G28">
        <v>1.9</v>
      </c>
      <c r="H28">
        <v>6</v>
      </c>
      <c r="I28">
        <v>48.5</v>
      </c>
      <c r="J28">
        <f t="shared" si="0"/>
        <v>2764.5</v>
      </c>
      <c r="K28" s="2">
        <v>44896</v>
      </c>
      <c r="L28" s="2" t="s">
        <v>131</v>
      </c>
      <c r="M28">
        <v>140</v>
      </c>
      <c r="N28">
        <v>2.2000000000000002</v>
      </c>
      <c r="O28" s="16">
        <v>2.1</v>
      </c>
      <c r="P28">
        <v>43.5</v>
      </c>
      <c r="Q28">
        <f t="shared" si="1"/>
        <v>6090</v>
      </c>
    </row>
    <row r="29" spans="1:17" x14ac:dyDescent="0.35">
      <c r="A29">
        <v>28</v>
      </c>
      <c r="B29">
        <v>19</v>
      </c>
      <c r="C29" t="str">
        <f>VLOOKUP(A29, Dissect!A:Q, 6)</f>
        <v>F</v>
      </c>
      <c r="D29" t="s">
        <v>130</v>
      </c>
      <c r="E29" s="2">
        <v>44881</v>
      </c>
      <c r="F29">
        <v>128</v>
      </c>
      <c r="G29">
        <v>1.9</v>
      </c>
      <c r="H29">
        <v>2.9</v>
      </c>
      <c r="I29">
        <v>48.5</v>
      </c>
      <c r="J29">
        <f t="shared" si="0"/>
        <v>6208</v>
      </c>
      <c r="K29" s="2">
        <v>44896</v>
      </c>
      <c r="L29" s="2" t="s">
        <v>131</v>
      </c>
      <c r="M29">
        <v>225</v>
      </c>
      <c r="N29">
        <v>2.2000000000000002</v>
      </c>
      <c r="O29" s="16">
        <v>2.2000000000000002</v>
      </c>
      <c r="P29">
        <v>43.5</v>
      </c>
      <c r="Q29">
        <f t="shared" si="1"/>
        <v>9787.5</v>
      </c>
    </row>
    <row r="30" spans="1:17" x14ac:dyDescent="0.35">
      <c r="A30">
        <v>29</v>
      </c>
      <c r="B30">
        <v>17</v>
      </c>
      <c r="C30" t="str">
        <f>VLOOKUP(A30, Dissect!A:Q, 6)</f>
        <v>M</v>
      </c>
      <c r="D30" t="s">
        <v>130</v>
      </c>
      <c r="E30" s="2">
        <v>44881</v>
      </c>
      <c r="F30">
        <v>73</v>
      </c>
      <c r="G30">
        <v>1.9</v>
      </c>
      <c r="H30">
        <v>3.3</v>
      </c>
      <c r="I30">
        <v>48.5</v>
      </c>
      <c r="J30">
        <f t="shared" si="0"/>
        <v>3540.5</v>
      </c>
      <c r="K30" s="2">
        <v>44896</v>
      </c>
      <c r="L30" s="2" t="s">
        <v>131</v>
      </c>
      <c r="M30">
        <v>190</v>
      </c>
      <c r="N30">
        <v>2</v>
      </c>
      <c r="O30" s="16">
        <v>1.2</v>
      </c>
      <c r="P30">
        <v>43.5</v>
      </c>
      <c r="Q30">
        <f t="shared" si="1"/>
        <v>8265</v>
      </c>
    </row>
    <row r="31" spans="1:17" x14ac:dyDescent="0.35">
      <c r="A31">
        <v>30</v>
      </c>
      <c r="B31">
        <v>17</v>
      </c>
      <c r="C31" t="str">
        <f>VLOOKUP(A31, Dissect!A:Q, 6)</f>
        <v>F</v>
      </c>
      <c r="D31" t="s">
        <v>130</v>
      </c>
      <c r="E31" s="2">
        <v>44881</v>
      </c>
      <c r="F31">
        <v>78</v>
      </c>
      <c r="G31">
        <v>1.9</v>
      </c>
      <c r="H31">
        <v>3.6</v>
      </c>
      <c r="I31">
        <v>48.5</v>
      </c>
      <c r="J31">
        <f t="shared" si="0"/>
        <v>3783</v>
      </c>
      <c r="K31" s="2">
        <v>44896</v>
      </c>
      <c r="L31" s="2" t="s">
        <v>131</v>
      </c>
      <c r="M31">
        <v>524</v>
      </c>
      <c r="N31">
        <v>2.2000000000000002</v>
      </c>
      <c r="O31" s="16">
        <v>2</v>
      </c>
      <c r="P31">
        <v>43.5</v>
      </c>
      <c r="Q31">
        <f t="shared" si="1"/>
        <v>22794</v>
      </c>
    </row>
    <row r="32" spans="1:17" x14ac:dyDescent="0.35">
      <c r="A32">
        <v>31</v>
      </c>
      <c r="B32">
        <v>19</v>
      </c>
      <c r="C32" t="str">
        <f>VLOOKUP(A32, Dissect!A:Q, 6)</f>
        <v>M</v>
      </c>
      <c r="D32" t="s">
        <v>130</v>
      </c>
      <c r="E32" s="2">
        <v>44881</v>
      </c>
      <c r="F32">
        <v>50</v>
      </c>
      <c r="G32">
        <v>1.9</v>
      </c>
      <c r="H32">
        <v>2.4</v>
      </c>
      <c r="I32">
        <v>48.5</v>
      </c>
      <c r="J32">
        <f t="shared" si="0"/>
        <v>2425</v>
      </c>
      <c r="K32" s="2">
        <v>44896</v>
      </c>
      <c r="L32" s="2" t="s">
        <v>131</v>
      </c>
      <c r="M32">
        <v>100</v>
      </c>
      <c r="N32">
        <v>2.2000000000000002</v>
      </c>
      <c r="O32" s="16">
        <v>2.1</v>
      </c>
      <c r="P32">
        <v>43.5</v>
      </c>
      <c r="Q32">
        <f t="shared" si="1"/>
        <v>4350</v>
      </c>
    </row>
    <row r="33" spans="1:17" x14ac:dyDescent="0.35">
      <c r="A33">
        <v>32</v>
      </c>
      <c r="B33">
        <v>19</v>
      </c>
      <c r="C33" t="str">
        <f>VLOOKUP(A33, Dissect!A:Q, 6)</f>
        <v>F</v>
      </c>
      <c r="D33" t="s">
        <v>130</v>
      </c>
      <c r="E33" s="2">
        <v>44881</v>
      </c>
      <c r="F33">
        <v>194</v>
      </c>
      <c r="G33">
        <v>1.9</v>
      </c>
      <c r="H33">
        <v>2.6</v>
      </c>
      <c r="I33">
        <v>48.5</v>
      </c>
      <c r="J33">
        <f t="shared" si="0"/>
        <v>9409</v>
      </c>
      <c r="K33" s="2">
        <v>44896</v>
      </c>
      <c r="L33" s="2" t="s">
        <v>131</v>
      </c>
      <c r="M33">
        <v>541</v>
      </c>
      <c r="N33">
        <v>2.2000000000000002</v>
      </c>
      <c r="O33" s="16">
        <v>2.2000000000000002</v>
      </c>
      <c r="P33">
        <v>43.5</v>
      </c>
      <c r="Q33">
        <f t="shared" si="1"/>
        <v>23533.5</v>
      </c>
    </row>
    <row r="34" spans="1:17" x14ac:dyDescent="0.35">
      <c r="A34">
        <v>33</v>
      </c>
      <c r="B34">
        <v>17</v>
      </c>
      <c r="C34" t="str">
        <f>VLOOKUP(A34, Dissect!A:Q, 6)</f>
        <v>M</v>
      </c>
      <c r="D34" t="s">
        <v>130</v>
      </c>
      <c r="E34" s="2">
        <v>44881</v>
      </c>
      <c r="F34">
        <v>87</v>
      </c>
      <c r="G34">
        <v>1.9</v>
      </c>
      <c r="H34">
        <v>2.8</v>
      </c>
      <c r="I34">
        <v>48.5</v>
      </c>
      <c r="J34">
        <f t="shared" ref="J34:J65" si="2">I34*F34</f>
        <v>4219.5</v>
      </c>
      <c r="K34" s="2">
        <v>44896</v>
      </c>
      <c r="L34" s="2" t="s">
        <v>131</v>
      </c>
      <c r="M34">
        <v>254</v>
      </c>
      <c r="N34">
        <v>2.2000000000000002</v>
      </c>
      <c r="O34" s="16">
        <v>2.2000000000000002</v>
      </c>
      <c r="P34">
        <v>43.5</v>
      </c>
      <c r="Q34">
        <f t="shared" ref="Q34:Q65" si="3">M34*P34</f>
        <v>11049</v>
      </c>
    </row>
    <row r="35" spans="1:17" x14ac:dyDescent="0.35">
      <c r="A35">
        <v>34</v>
      </c>
      <c r="B35">
        <v>17</v>
      </c>
      <c r="C35" t="str">
        <f>VLOOKUP(A35, Dissect!A:Q, 6)</f>
        <v>M</v>
      </c>
      <c r="D35" t="s">
        <v>130</v>
      </c>
      <c r="E35" s="2">
        <v>44881</v>
      </c>
      <c r="F35">
        <v>90</v>
      </c>
      <c r="G35">
        <v>1.9</v>
      </c>
      <c r="H35">
        <v>2.7</v>
      </c>
      <c r="I35">
        <v>48.5</v>
      </c>
      <c r="J35">
        <f t="shared" si="2"/>
        <v>4365</v>
      </c>
      <c r="K35" s="2">
        <v>44896</v>
      </c>
      <c r="L35" s="2" t="s">
        <v>131</v>
      </c>
      <c r="M35">
        <v>215</v>
      </c>
      <c r="N35">
        <v>2.2000000000000002</v>
      </c>
      <c r="O35" s="16">
        <v>2.2000000000000002</v>
      </c>
      <c r="P35">
        <v>43.5</v>
      </c>
      <c r="Q35">
        <f t="shared" si="3"/>
        <v>9352.5</v>
      </c>
    </row>
    <row r="36" spans="1:17" x14ac:dyDescent="0.35">
      <c r="A36">
        <v>35</v>
      </c>
      <c r="B36">
        <v>17</v>
      </c>
      <c r="C36" t="str">
        <f>VLOOKUP(A36, Dissect!A:Q, 6)</f>
        <v>M</v>
      </c>
      <c r="D36" t="s">
        <v>130</v>
      </c>
      <c r="E36" s="2">
        <v>44881</v>
      </c>
      <c r="F36">
        <v>140</v>
      </c>
      <c r="G36">
        <v>1.9</v>
      </c>
      <c r="H36">
        <v>3.5</v>
      </c>
      <c r="I36">
        <v>48.5</v>
      </c>
      <c r="J36">
        <f t="shared" si="2"/>
        <v>6790</v>
      </c>
      <c r="K36" s="2">
        <v>44896</v>
      </c>
      <c r="L36" s="2" t="s">
        <v>131</v>
      </c>
      <c r="M36">
        <v>333</v>
      </c>
      <c r="N36">
        <v>2.2000000000000002</v>
      </c>
      <c r="O36" s="16">
        <v>2.2000000000000002</v>
      </c>
      <c r="P36">
        <v>43.5</v>
      </c>
      <c r="Q36">
        <f t="shared" si="3"/>
        <v>14485.5</v>
      </c>
    </row>
    <row r="37" spans="1:17" x14ac:dyDescent="0.35">
      <c r="A37">
        <v>36</v>
      </c>
      <c r="B37">
        <v>16</v>
      </c>
      <c r="C37" t="str">
        <f>VLOOKUP(A37, Dissect!A:Q, 6)</f>
        <v>M</v>
      </c>
      <c r="D37" t="s">
        <v>130</v>
      </c>
      <c r="E37" s="2">
        <v>44881</v>
      </c>
      <c r="F37">
        <v>126</v>
      </c>
      <c r="G37">
        <v>1.9</v>
      </c>
      <c r="H37">
        <v>2.5</v>
      </c>
      <c r="I37">
        <v>48.5</v>
      </c>
      <c r="J37">
        <f t="shared" si="2"/>
        <v>6111</v>
      </c>
      <c r="K37" s="2">
        <v>44896</v>
      </c>
      <c r="L37" s="2" t="s">
        <v>131</v>
      </c>
      <c r="M37">
        <v>226</v>
      </c>
      <c r="N37">
        <v>2.2000000000000002</v>
      </c>
      <c r="O37" s="16">
        <v>2.1</v>
      </c>
      <c r="P37">
        <v>43.5</v>
      </c>
      <c r="Q37">
        <f t="shared" si="3"/>
        <v>9831</v>
      </c>
    </row>
    <row r="38" spans="1:17" x14ac:dyDescent="0.35">
      <c r="A38">
        <v>37</v>
      </c>
      <c r="B38">
        <v>16</v>
      </c>
      <c r="C38" t="str">
        <f>VLOOKUP(A38, Dissect!A:Q, 6)</f>
        <v>F</v>
      </c>
      <c r="D38" t="s">
        <v>130</v>
      </c>
      <c r="E38" s="2">
        <v>44881</v>
      </c>
      <c r="F38">
        <v>216</v>
      </c>
      <c r="G38">
        <v>1.9</v>
      </c>
      <c r="H38">
        <v>1.9</v>
      </c>
      <c r="I38">
        <v>48.5</v>
      </c>
      <c r="J38">
        <f t="shared" si="2"/>
        <v>10476</v>
      </c>
      <c r="K38" s="2">
        <v>44896</v>
      </c>
      <c r="L38" s="2" t="s">
        <v>131</v>
      </c>
      <c r="M38">
        <v>585</v>
      </c>
      <c r="N38">
        <v>2.2000000000000002</v>
      </c>
      <c r="O38" s="16">
        <v>2.2000000000000002</v>
      </c>
      <c r="P38">
        <v>43.5</v>
      </c>
      <c r="Q38">
        <f t="shared" si="3"/>
        <v>25447.5</v>
      </c>
    </row>
    <row r="39" spans="1:17" x14ac:dyDescent="0.35">
      <c r="A39">
        <v>38</v>
      </c>
      <c r="B39">
        <v>15</v>
      </c>
      <c r="C39" t="str">
        <f>VLOOKUP(A39, Dissect!A:Q, 6)</f>
        <v>F</v>
      </c>
      <c r="D39" t="s">
        <v>130</v>
      </c>
      <c r="E39" s="2">
        <v>44881</v>
      </c>
      <c r="F39">
        <v>178</v>
      </c>
      <c r="G39">
        <v>1.9</v>
      </c>
      <c r="H39">
        <v>0.2</v>
      </c>
      <c r="I39">
        <v>48.5</v>
      </c>
      <c r="J39">
        <f t="shared" si="2"/>
        <v>8633</v>
      </c>
      <c r="K39" s="2">
        <v>44896</v>
      </c>
      <c r="L39" s="2" t="s">
        <v>131</v>
      </c>
      <c r="M39">
        <v>496</v>
      </c>
      <c r="N39">
        <v>2.2000000000000002</v>
      </c>
      <c r="O39" s="16">
        <v>2.2999999999999998</v>
      </c>
      <c r="P39">
        <v>43.5</v>
      </c>
      <c r="Q39">
        <f t="shared" si="3"/>
        <v>21576</v>
      </c>
    </row>
    <row r="40" spans="1:17" x14ac:dyDescent="0.35">
      <c r="A40">
        <v>39</v>
      </c>
      <c r="B40">
        <v>15</v>
      </c>
      <c r="C40" t="str">
        <f>VLOOKUP(A40, Dissect!A:Q, 6)</f>
        <v>F</v>
      </c>
      <c r="D40" t="s">
        <v>130</v>
      </c>
      <c r="E40" s="2">
        <v>44881</v>
      </c>
      <c r="F40">
        <v>208</v>
      </c>
      <c r="G40">
        <v>1.9</v>
      </c>
      <c r="H40">
        <v>2.7</v>
      </c>
      <c r="I40">
        <v>48.5</v>
      </c>
      <c r="J40">
        <f t="shared" si="2"/>
        <v>10088</v>
      </c>
      <c r="K40" s="2">
        <v>44896</v>
      </c>
      <c r="L40" s="2" t="s">
        <v>131</v>
      </c>
      <c r="M40">
        <v>634</v>
      </c>
      <c r="N40">
        <v>2.2000000000000002</v>
      </c>
      <c r="O40" s="16">
        <v>2.2000000000000002</v>
      </c>
      <c r="P40">
        <v>43.5</v>
      </c>
      <c r="Q40">
        <f t="shared" si="3"/>
        <v>27579</v>
      </c>
    </row>
    <row r="41" spans="1:17" x14ac:dyDescent="0.35">
      <c r="A41">
        <v>40</v>
      </c>
      <c r="B41">
        <v>14</v>
      </c>
      <c r="C41" t="str">
        <f>VLOOKUP(A41, Dissect!A:Q, 6)</f>
        <v>M</v>
      </c>
      <c r="D41" t="s">
        <v>130</v>
      </c>
      <c r="E41" s="2">
        <v>44881</v>
      </c>
      <c r="F41">
        <v>90</v>
      </c>
      <c r="G41">
        <v>1.9</v>
      </c>
      <c r="H41">
        <v>2.1</v>
      </c>
      <c r="I41">
        <v>48.5</v>
      </c>
      <c r="J41">
        <f t="shared" si="2"/>
        <v>4365</v>
      </c>
      <c r="K41" s="2">
        <v>44896</v>
      </c>
      <c r="L41" s="2" t="s">
        <v>131</v>
      </c>
      <c r="M41">
        <v>127</v>
      </c>
      <c r="N41">
        <v>2.2000000000000002</v>
      </c>
      <c r="O41" s="16">
        <v>1.8</v>
      </c>
      <c r="P41">
        <v>43.5</v>
      </c>
      <c r="Q41">
        <f t="shared" si="3"/>
        <v>5524.5</v>
      </c>
    </row>
    <row r="42" spans="1:17" x14ac:dyDescent="0.35">
      <c r="A42">
        <v>41</v>
      </c>
      <c r="B42">
        <v>14</v>
      </c>
      <c r="C42" t="str">
        <f>VLOOKUP(A42, Dissect!A:Q, 6)</f>
        <v>M</v>
      </c>
      <c r="D42" t="s">
        <v>130</v>
      </c>
      <c r="E42" s="2">
        <v>44881</v>
      </c>
      <c r="F42">
        <v>46</v>
      </c>
      <c r="G42">
        <v>1.9</v>
      </c>
      <c r="H42">
        <v>4</v>
      </c>
      <c r="I42">
        <v>48.5</v>
      </c>
      <c r="J42">
        <f t="shared" si="2"/>
        <v>2231</v>
      </c>
      <c r="K42" s="2">
        <v>44896</v>
      </c>
      <c r="L42" s="2" t="s">
        <v>131</v>
      </c>
      <c r="M42">
        <v>105</v>
      </c>
      <c r="N42">
        <v>2.2000000000000002</v>
      </c>
      <c r="O42" s="16">
        <v>1.6</v>
      </c>
      <c r="P42">
        <v>43.5</v>
      </c>
      <c r="Q42">
        <f t="shared" si="3"/>
        <v>4567.5</v>
      </c>
    </row>
    <row r="43" spans="1:17" x14ac:dyDescent="0.35">
      <c r="A43">
        <v>42</v>
      </c>
      <c r="B43">
        <v>16</v>
      </c>
      <c r="C43" t="str">
        <f>VLOOKUP(A43, Dissect!A:Q, 6)</f>
        <v>F</v>
      </c>
      <c r="D43" t="s">
        <v>130</v>
      </c>
      <c r="E43" s="2">
        <v>44881</v>
      </c>
      <c r="F43">
        <v>160</v>
      </c>
      <c r="G43">
        <v>1.9</v>
      </c>
      <c r="H43">
        <v>3</v>
      </c>
      <c r="I43">
        <v>48.5</v>
      </c>
      <c r="J43">
        <f t="shared" si="2"/>
        <v>7760</v>
      </c>
      <c r="K43" s="2">
        <v>44896</v>
      </c>
      <c r="L43" s="2" t="s">
        <v>131</v>
      </c>
      <c r="M43">
        <v>528</v>
      </c>
      <c r="N43">
        <v>2.2000000000000002</v>
      </c>
      <c r="O43" s="16">
        <v>2.2000000000000002</v>
      </c>
      <c r="P43">
        <v>43.5</v>
      </c>
      <c r="Q43">
        <f t="shared" si="3"/>
        <v>22968</v>
      </c>
    </row>
    <row r="44" spans="1:17" x14ac:dyDescent="0.35">
      <c r="A44">
        <v>43</v>
      </c>
      <c r="B44">
        <v>16</v>
      </c>
      <c r="C44" t="str">
        <f>VLOOKUP(A44, Dissect!A:Q, 6)</f>
        <v>M</v>
      </c>
      <c r="D44" t="s">
        <v>130</v>
      </c>
      <c r="E44" s="2">
        <v>44881</v>
      </c>
      <c r="F44">
        <v>67</v>
      </c>
      <c r="G44">
        <v>1.9</v>
      </c>
      <c r="H44">
        <v>4.0999999999999996</v>
      </c>
      <c r="I44">
        <v>48.5</v>
      </c>
      <c r="J44">
        <f t="shared" si="2"/>
        <v>3249.5</v>
      </c>
      <c r="K44" s="2">
        <v>44896</v>
      </c>
      <c r="L44" s="2" t="s">
        <v>131</v>
      </c>
      <c r="M44">
        <v>107</v>
      </c>
      <c r="N44">
        <v>2.2000000000000002</v>
      </c>
      <c r="O44" s="16">
        <v>1.9</v>
      </c>
      <c r="P44">
        <v>43.5</v>
      </c>
      <c r="Q44">
        <f t="shared" si="3"/>
        <v>4654.5</v>
      </c>
    </row>
    <row r="45" spans="1:17" x14ac:dyDescent="0.35">
      <c r="A45">
        <v>44</v>
      </c>
      <c r="B45">
        <v>15</v>
      </c>
      <c r="C45" t="str">
        <f>VLOOKUP(A45, Dissect!A:Q, 6)</f>
        <v>F</v>
      </c>
      <c r="D45" t="s">
        <v>130</v>
      </c>
      <c r="E45" s="2">
        <v>44881</v>
      </c>
      <c r="F45">
        <v>123</v>
      </c>
      <c r="G45">
        <v>1.9</v>
      </c>
      <c r="H45">
        <v>2.9</v>
      </c>
      <c r="I45">
        <v>48.5</v>
      </c>
      <c r="J45">
        <f t="shared" si="2"/>
        <v>5965.5</v>
      </c>
      <c r="K45" s="2">
        <v>44896</v>
      </c>
      <c r="L45" s="2" t="s">
        <v>131</v>
      </c>
      <c r="M45">
        <v>373</v>
      </c>
      <c r="N45">
        <v>2.2000000000000002</v>
      </c>
      <c r="O45" s="16">
        <v>2.2000000000000002</v>
      </c>
      <c r="P45">
        <v>43.5</v>
      </c>
      <c r="Q45">
        <f t="shared" si="3"/>
        <v>16225.5</v>
      </c>
    </row>
    <row r="46" spans="1:17" x14ac:dyDescent="0.35">
      <c r="A46">
        <v>45</v>
      </c>
      <c r="B46">
        <v>15</v>
      </c>
      <c r="C46" t="str">
        <f>VLOOKUP(A46, Dissect!A:Q, 6)</f>
        <v>F</v>
      </c>
      <c r="D46" t="s">
        <v>130</v>
      </c>
      <c r="E46" s="2">
        <v>44881</v>
      </c>
      <c r="F46">
        <v>85</v>
      </c>
      <c r="G46">
        <v>1.9</v>
      </c>
      <c r="H46">
        <v>3.4</v>
      </c>
      <c r="I46">
        <v>48.5</v>
      </c>
      <c r="J46">
        <f t="shared" si="2"/>
        <v>4122.5</v>
      </c>
      <c r="K46" s="2">
        <v>44896</v>
      </c>
      <c r="L46" s="2" t="s">
        <v>131</v>
      </c>
      <c r="M46">
        <v>510</v>
      </c>
      <c r="N46">
        <v>2.2000000000000002</v>
      </c>
      <c r="O46" s="16">
        <v>2.2999999999999998</v>
      </c>
      <c r="P46">
        <v>43.5</v>
      </c>
      <c r="Q46">
        <f t="shared" si="3"/>
        <v>22185</v>
      </c>
    </row>
    <row r="47" spans="1:17" x14ac:dyDescent="0.35">
      <c r="A47">
        <v>46</v>
      </c>
      <c r="B47">
        <v>14</v>
      </c>
      <c r="C47" t="str">
        <f>VLOOKUP(A47, Dissect!A:Q, 6)</f>
        <v>M</v>
      </c>
      <c r="D47" t="s">
        <v>130</v>
      </c>
      <c r="E47" s="2">
        <v>44881</v>
      </c>
      <c r="F47">
        <v>89</v>
      </c>
      <c r="G47">
        <v>1.9</v>
      </c>
      <c r="H47">
        <v>0.4</v>
      </c>
      <c r="I47">
        <v>48.5</v>
      </c>
      <c r="J47">
        <f t="shared" si="2"/>
        <v>4316.5</v>
      </c>
      <c r="K47" s="2">
        <v>44896</v>
      </c>
      <c r="L47" s="2" t="s">
        <v>131</v>
      </c>
      <c r="M47">
        <v>177</v>
      </c>
      <c r="N47">
        <v>2.2000000000000002</v>
      </c>
      <c r="O47" s="16">
        <v>2.2000000000000002</v>
      </c>
      <c r="P47">
        <v>43.5</v>
      </c>
      <c r="Q47">
        <f t="shared" si="3"/>
        <v>7699.5</v>
      </c>
    </row>
    <row r="48" spans="1:17" x14ac:dyDescent="0.35">
      <c r="A48">
        <v>47</v>
      </c>
      <c r="B48">
        <v>14</v>
      </c>
      <c r="C48" t="str">
        <f>VLOOKUP(A48, Dissect!A:Q, 6)</f>
        <v>F</v>
      </c>
      <c r="D48" t="s">
        <v>130</v>
      </c>
      <c r="E48" s="2">
        <v>44881</v>
      </c>
      <c r="F48">
        <v>70</v>
      </c>
      <c r="G48">
        <v>1.9</v>
      </c>
      <c r="H48">
        <v>4.5999999999999996</v>
      </c>
      <c r="I48">
        <v>48.5</v>
      </c>
      <c r="J48">
        <f t="shared" si="2"/>
        <v>3395</v>
      </c>
      <c r="K48" s="2">
        <v>44896</v>
      </c>
      <c r="L48" s="2" t="s">
        <v>131</v>
      </c>
      <c r="M48">
        <v>117</v>
      </c>
      <c r="N48">
        <v>2.2000000000000002</v>
      </c>
      <c r="O48" s="16">
        <v>2.1</v>
      </c>
      <c r="P48">
        <v>43.5</v>
      </c>
      <c r="Q48">
        <f t="shared" si="3"/>
        <v>5089.5</v>
      </c>
    </row>
    <row r="49" spans="1:17" x14ac:dyDescent="0.35">
      <c r="A49">
        <v>48</v>
      </c>
      <c r="B49">
        <v>16</v>
      </c>
      <c r="C49" t="str">
        <f>VLOOKUP(A49, Dissect!A:Q, 6)</f>
        <v>F</v>
      </c>
      <c r="D49" t="s">
        <v>130</v>
      </c>
      <c r="E49" s="2">
        <v>44881</v>
      </c>
      <c r="F49">
        <v>30</v>
      </c>
      <c r="G49">
        <v>1.9</v>
      </c>
      <c r="H49">
        <v>1.2</v>
      </c>
      <c r="I49">
        <v>48.5</v>
      </c>
      <c r="J49">
        <f t="shared" si="2"/>
        <v>1455</v>
      </c>
      <c r="K49" s="2">
        <v>44896</v>
      </c>
      <c r="L49" s="2" t="s">
        <v>131</v>
      </c>
      <c r="M49">
        <v>50</v>
      </c>
      <c r="N49">
        <v>2.2000000000000002</v>
      </c>
      <c r="O49" s="16">
        <v>0.8</v>
      </c>
      <c r="P49">
        <v>43.5</v>
      </c>
      <c r="Q49">
        <f t="shared" si="3"/>
        <v>2175</v>
      </c>
    </row>
    <row r="50" spans="1:17" x14ac:dyDescent="0.35">
      <c r="A50">
        <v>49</v>
      </c>
      <c r="B50">
        <v>16</v>
      </c>
      <c r="C50" t="str">
        <f>VLOOKUP(A50, Dissect!A:Q, 6)</f>
        <v>M</v>
      </c>
      <c r="D50" s="2" t="s">
        <v>131</v>
      </c>
      <c r="E50" s="2">
        <v>44902</v>
      </c>
      <c r="F50">
        <v>56</v>
      </c>
      <c r="G50">
        <v>1.9</v>
      </c>
      <c r="H50">
        <v>2.1</v>
      </c>
      <c r="I50">
        <v>48.5</v>
      </c>
      <c r="J50">
        <f t="shared" si="2"/>
        <v>2716</v>
      </c>
      <c r="K50" s="2">
        <v>44908</v>
      </c>
      <c r="L50" s="2" t="s">
        <v>131</v>
      </c>
      <c r="M50">
        <v>186</v>
      </c>
      <c r="N50">
        <v>2.1</v>
      </c>
      <c r="O50" s="16">
        <v>1.9</v>
      </c>
      <c r="P50">
        <v>43.5</v>
      </c>
      <c r="Q50">
        <f t="shared" si="3"/>
        <v>8091</v>
      </c>
    </row>
    <row r="51" spans="1:17" x14ac:dyDescent="0.35">
      <c r="A51">
        <v>50</v>
      </c>
      <c r="B51">
        <v>14</v>
      </c>
      <c r="C51" t="str">
        <f>VLOOKUP(A51, Dissect!A:Q, 6)</f>
        <v>F</v>
      </c>
      <c r="D51" s="2" t="s">
        <v>131</v>
      </c>
      <c r="E51" s="2">
        <v>44902</v>
      </c>
      <c r="F51">
        <v>132</v>
      </c>
      <c r="G51">
        <v>1.9</v>
      </c>
      <c r="H51">
        <v>2</v>
      </c>
      <c r="I51">
        <v>48.5</v>
      </c>
      <c r="J51">
        <f t="shared" si="2"/>
        <v>6402</v>
      </c>
      <c r="K51" s="2">
        <v>44908</v>
      </c>
      <c r="L51" s="2" t="s">
        <v>131</v>
      </c>
      <c r="M51">
        <v>581</v>
      </c>
      <c r="N51">
        <v>2.2000000000000002</v>
      </c>
      <c r="O51" s="16">
        <v>2.1</v>
      </c>
      <c r="P51">
        <v>43.5</v>
      </c>
      <c r="Q51">
        <f t="shared" si="3"/>
        <v>25273.5</v>
      </c>
    </row>
    <row r="52" spans="1:17" x14ac:dyDescent="0.35">
      <c r="A52">
        <v>51</v>
      </c>
      <c r="B52">
        <v>14</v>
      </c>
      <c r="C52" t="str">
        <f>VLOOKUP(A52, Dissect!A:Q, 6)</f>
        <v>F</v>
      </c>
      <c r="D52" s="2" t="s">
        <v>131</v>
      </c>
      <c r="E52" s="2">
        <v>44902</v>
      </c>
      <c r="F52">
        <v>66</v>
      </c>
      <c r="G52">
        <v>1.8</v>
      </c>
      <c r="H52">
        <v>2</v>
      </c>
      <c r="I52">
        <v>48.5</v>
      </c>
      <c r="J52">
        <f t="shared" si="2"/>
        <v>3201</v>
      </c>
      <c r="K52" s="2">
        <v>44908</v>
      </c>
      <c r="L52" s="2" t="s">
        <v>131</v>
      </c>
      <c r="M52">
        <v>617</v>
      </c>
      <c r="N52">
        <v>2.2000000000000002</v>
      </c>
      <c r="O52" s="16">
        <v>2.2000000000000002</v>
      </c>
      <c r="P52">
        <v>43.5</v>
      </c>
      <c r="Q52">
        <f t="shared" si="3"/>
        <v>26839.5</v>
      </c>
    </row>
    <row r="53" spans="1:17" x14ac:dyDescent="0.35">
      <c r="A53">
        <v>52</v>
      </c>
      <c r="B53">
        <v>16</v>
      </c>
      <c r="C53" t="str">
        <f>VLOOKUP(A53, Dissect!A:Q, 6)</f>
        <v>F</v>
      </c>
      <c r="D53" s="2" t="s">
        <v>131</v>
      </c>
      <c r="E53" s="2">
        <v>44902</v>
      </c>
      <c r="F53">
        <v>261</v>
      </c>
      <c r="G53">
        <v>20</v>
      </c>
      <c r="H53">
        <v>2.2999999999999998</v>
      </c>
      <c r="I53">
        <v>48.5</v>
      </c>
      <c r="J53">
        <f t="shared" si="2"/>
        <v>12658.5</v>
      </c>
      <c r="K53" s="2">
        <v>44908</v>
      </c>
      <c r="L53" s="2" t="s">
        <v>131</v>
      </c>
      <c r="M53">
        <v>0</v>
      </c>
      <c r="N53">
        <v>0</v>
      </c>
      <c r="O53" s="16">
        <v>0</v>
      </c>
      <c r="P53">
        <v>43.5</v>
      </c>
      <c r="Q53">
        <f t="shared" si="3"/>
        <v>0</v>
      </c>
    </row>
    <row r="54" spans="1:17" x14ac:dyDescent="0.35">
      <c r="A54">
        <v>53</v>
      </c>
      <c r="B54">
        <v>16</v>
      </c>
      <c r="C54" t="str">
        <f>VLOOKUP(A54, Dissect!A:Q, 6)</f>
        <v>M</v>
      </c>
      <c r="D54" s="2" t="s">
        <v>131</v>
      </c>
      <c r="E54" s="2">
        <v>44902</v>
      </c>
      <c r="F54">
        <v>117</v>
      </c>
      <c r="G54">
        <v>1.9</v>
      </c>
      <c r="H54">
        <v>2.2999999999999998</v>
      </c>
      <c r="I54">
        <v>48.5</v>
      </c>
      <c r="J54">
        <f t="shared" si="2"/>
        <v>5674.5</v>
      </c>
      <c r="K54" s="2">
        <v>44908</v>
      </c>
      <c r="L54" s="2" t="s">
        <v>131</v>
      </c>
      <c r="M54">
        <v>0</v>
      </c>
      <c r="N54">
        <v>0</v>
      </c>
      <c r="O54" s="16">
        <v>0</v>
      </c>
      <c r="P54">
        <v>43.5</v>
      </c>
      <c r="Q54">
        <f t="shared" si="3"/>
        <v>0</v>
      </c>
    </row>
    <row r="55" spans="1:17" x14ac:dyDescent="0.35">
      <c r="A55">
        <v>54</v>
      </c>
      <c r="B55">
        <v>14</v>
      </c>
      <c r="C55" t="str">
        <f>VLOOKUP(A55, Dissect!A:Q, 6)</f>
        <v>M</v>
      </c>
      <c r="D55" s="2" t="s">
        <v>131</v>
      </c>
      <c r="E55" s="2">
        <v>44902</v>
      </c>
      <c r="F55">
        <v>63</v>
      </c>
      <c r="G55">
        <v>1.9</v>
      </c>
      <c r="H55">
        <v>0.2</v>
      </c>
      <c r="I55">
        <v>48.5</v>
      </c>
      <c r="J55">
        <f t="shared" si="2"/>
        <v>3055.5</v>
      </c>
      <c r="K55" s="2">
        <v>44908</v>
      </c>
      <c r="L55" s="2" t="s">
        <v>131</v>
      </c>
      <c r="M55">
        <v>153</v>
      </c>
      <c r="N55">
        <v>2.2000000000000002</v>
      </c>
      <c r="O55" s="16">
        <v>2.1</v>
      </c>
      <c r="P55">
        <v>43.5</v>
      </c>
      <c r="Q55">
        <f t="shared" si="3"/>
        <v>6655.5</v>
      </c>
    </row>
    <row r="56" spans="1:17" x14ac:dyDescent="0.35">
      <c r="A56">
        <v>55</v>
      </c>
      <c r="B56">
        <v>14</v>
      </c>
      <c r="C56" t="str">
        <f>VLOOKUP(A56, Dissect!A:Q, 6)</f>
        <v>F</v>
      </c>
      <c r="D56" s="2" t="s">
        <v>131</v>
      </c>
      <c r="E56" s="2">
        <v>44902</v>
      </c>
      <c r="F56">
        <v>33</v>
      </c>
      <c r="G56">
        <v>1.9</v>
      </c>
      <c r="H56">
        <v>1</v>
      </c>
      <c r="I56">
        <v>48.5</v>
      </c>
      <c r="J56">
        <f t="shared" si="2"/>
        <v>1600.5</v>
      </c>
      <c r="K56" s="2">
        <v>44908</v>
      </c>
      <c r="L56" s="2" t="s">
        <v>131</v>
      </c>
      <c r="M56">
        <v>184</v>
      </c>
      <c r="N56">
        <v>2.2000000000000002</v>
      </c>
      <c r="O56" s="16">
        <v>2.1</v>
      </c>
      <c r="P56">
        <v>43.5</v>
      </c>
      <c r="Q56">
        <f t="shared" si="3"/>
        <v>8004</v>
      </c>
    </row>
    <row r="57" spans="1:17" x14ac:dyDescent="0.35">
      <c r="A57">
        <v>56</v>
      </c>
      <c r="B57">
        <v>14</v>
      </c>
      <c r="C57" t="str">
        <f>VLOOKUP(A57, Dissect!A:Q, 6)</f>
        <v>F</v>
      </c>
      <c r="D57" s="2" t="s">
        <v>131</v>
      </c>
      <c r="E57" s="2">
        <v>44902</v>
      </c>
      <c r="F57">
        <v>129</v>
      </c>
      <c r="G57">
        <v>2</v>
      </c>
      <c r="H57">
        <v>2.2999999999999998</v>
      </c>
      <c r="I57">
        <v>48.5</v>
      </c>
      <c r="J57">
        <f t="shared" si="2"/>
        <v>6256.5</v>
      </c>
      <c r="K57" s="2">
        <v>44908</v>
      </c>
      <c r="L57" s="2" t="s">
        <v>131</v>
      </c>
      <c r="M57">
        <v>329</v>
      </c>
      <c r="N57">
        <v>2.2000000000000002</v>
      </c>
      <c r="O57" s="16">
        <v>1.7</v>
      </c>
      <c r="P57">
        <v>43.5</v>
      </c>
      <c r="Q57">
        <f t="shared" si="3"/>
        <v>14311.5</v>
      </c>
    </row>
    <row r="58" spans="1:17" x14ac:dyDescent="0.35">
      <c r="A58">
        <v>57</v>
      </c>
      <c r="B58">
        <v>12</v>
      </c>
      <c r="C58" t="str">
        <f>VLOOKUP(A58, Dissect!A:Q, 6)</f>
        <v>F</v>
      </c>
      <c r="D58" s="2" t="s">
        <v>131</v>
      </c>
      <c r="E58" s="2">
        <v>44902</v>
      </c>
      <c r="F58">
        <v>131</v>
      </c>
      <c r="G58">
        <v>2</v>
      </c>
      <c r="H58">
        <v>2.2999999999999998</v>
      </c>
      <c r="I58">
        <v>48.5</v>
      </c>
      <c r="J58">
        <f t="shared" si="2"/>
        <v>6353.5</v>
      </c>
      <c r="K58" s="2">
        <v>44908</v>
      </c>
      <c r="L58" s="2" t="s">
        <v>131</v>
      </c>
      <c r="M58">
        <v>690</v>
      </c>
      <c r="N58">
        <v>2.2000000000000002</v>
      </c>
      <c r="O58" s="16">
        <v>2.2999999999999998</v>
      </c>
      <c r="P58">
        <v>43.5</v>
      </c>
      <c r="Q58">
        <f t="shared" si="3"/>
        <v>30015</v>
      </c>
    </row>
    <row r="59" spans="1:17" x14ac:dyDescent="0.35">
      <c r="A59">
        <v>58</v>
      </c>
      <c r="B59">
        <v>12</v>
      </c>
      <c r="C59" t="str">
        <f>VLOOKUP(A59, Dissect!A:Q, 6)</f>
        <v>M</v>
      </c>
      <c r="D59" s="2" t="s">
        <v>131</v>
      </c>
      <c r="E59" s="2">
        <v>44902</v>
      </c>
      <c r="F59">
        <v>4</v>
      </c>
      <c r="G59">
        <v>1.5</v>
      </c>
      <c r="H59">
        <v>0.8</v>
      </c>
      <c r="I59">
        <v>48.5</v>
      </c>
      <c r="J59">
        <f t="shared" si="2"/>
        <v>194</v>
      </c>
      <c r="K59" s="2">
        <v>44908</v>
      </c>
      <c r="L59" s="2" t="s">
        <v>131</v>
      </c>
      <c r="P59">
        <v>43.5</v>
      </c>
      <c r="Q59">
        <f t="shared" si="3"/>
        <v>0</v>
      </c>
    </row>
    <row r="60" spans="1:17" x14ac:dyDescent="0.35">
      <c r="A60">
        <v>59</v>
      </c>
      <c r="B60">
        <v>10</v>
      </c>
      <c r="C60" t="str">
        <f>VLOOKUP(A60, Dissect!A:Q, 6)</f>
        <v>M</v>
      </c>
      <c r="D60" s="2" t="s">
        <v>131</v>
      </c>
      <c r="E60" s="2">
        <v>44902</v>
      </c>
      <c r="F60">
        <v>54</v>
      </c>
      <c r="G60">
        <v>1.9</v>
      </c>
      <c r="H60">
        <v>2.1</v>
      </c>
      <c r="I60">
        <v>48.5</v>
      </c>
      <c r="J60">
        <f t="shared" si="2"/>
        <v>2619</v>
      </c>
      <c r="K60" s="2">
        <v>44908</v>
      </c>
      <c r="L60" s="2" t="s">
        <v>131</v>
      </c>
      <c r="M60">
        <v>138</v>
      </c>
      <c r="N60">
        <v>2.2000000000000002</v>
      </c>
      <c r="O60" s="16">
        <v>2.1</v>
      </c>
      <c r="P60">
        <v>43.5</v>
      </c>
      <c r="Q60">
        <f t="shared" si="3"/>
        <v>6003</v>
      </c>
    </row>
    <row r="61" spans="1:17" x14ac:dyDescent="0.35">
      <c r="A61">
        <v>60</v>
      </c>
      <c r="B61">
        <v>10</v>
      </c>
      <c r="C61" t="str">
        <f>VLOOKUP(A61, Dissect!A:Q, 6)</f>
        <v>F</v>
      </c>
      <c r="D61" s="2" t="s">
        <v>131</v>
      </c>
      <c r="E61" s="2">
        <v>44902</v>
      </c>
      <c r="F61">
        <v>70</v>
      </c>
      <c r="G61">
        <v>1.9</v>
      </c>
      <c r="H61">
        <v>1.2</v>
      </c>
      <c r="I61">
        <v>48.5</v>
      </c>
      <c r="J61">
        <f t="shared" si="2"/>
        <v>3395</v>
      </c>
      <c r="K61" s="2">
        <v>44908</v>
      </c>
      <c r="L61" s="2" t="s">
        <v>131</v>
      </c>
      <c r="M61">
        <v>480</v>
      </c>
      <c r="N61">
        <v>2.2000000000000002</v>
      </c>
      <c r="O61" s="16">
        <v>2.1</v>
      </c>
      <c r="P61">
        <v>43.5</v>
      </c>
      <c r="Q61">
        <f t="shared" si="3"/>
        <v>20880</v>
      </c>
    </row>
    <row r="62" spans="1:17" x14ac:dyDescent="0.35">
      <c r="A62">
        <v>61</v>
      </c>
      <c r="B62">
        <v>9</v>
      </c>
      <c r="C62" t="str">
        <f>VLOOKUP(A62, Dissect!A:Q, 6)</f>
        <v>M</v>
      </c>
      <c r="D62" s="2" t="s">
        <v>131</v>
      </c>
      <c r="E62" s="2">
        <v>44902</v>
      </c>
      <c r="F62">
        <v>113</v>
      </c>
      <c r="G62">
        <v>1.9</v>
      </c>
      <c r="H62">
        <v>1.3</v>
      </c>
      <c r="I62">
        <v>48.5</v>
      </c>
      <c r="J62">
        <f t="shared" si="2"/>
        <v>5480.5</v>
      </c>
      <c r="K62" s="2">
        <v>44908</v>
      </c>
      <c r="L62" s="2" t="s">
        <v>131</v>
      </c>
      <c r="M62">
        <v>247</v>
      </c>
      <c r="N62">
        <v>2.2000000000000002</v>
      </c>
      <c r="O62" s="16">
        <v>2.2000000000000002</v>
      </c>
      <c r="P62">
        <v>43.5</v>
      </c>
      <c r="Q62">
        <f t="shared" si="3"/>
        <v>10744.5</v>
      </c>
    </row>
    <row r="63" spans="1:17" x14ac:dyDescent="0.35">
      <c r="A63">
        <v>62</v>
      </c>
      <c r="B63">
        <v>9</v>
      </c>
      <c r="C63" t="str">
        <f>VLOOKUP(A63, Dissect!A:Q, 6)</f>
        <v>F</v>
      </c>
      <c r="D63" s="2" t="s">
        <v>131</v>
      </c>
      <c r="E63" s="2">
        <v>44902</v>
      </c>
      <c r="F63">
        <v>104</v>
      </c>
      <c r="G63">
        <v>2</v>
      </c>
      <c r="H63">
        <v>2.2000000000000002</v>
      </c>
      <c r="I63">
        <v>48.5</v>
      </c>
      <c r="J63">
        <f t="shared" si="2"/>
        <v>5044</v>
      </c>
      <c r="K63" s="2">
        <v>44908</v>
      </c>
      <c r="L63" s="2" t="s">
        <v>131</v>
      </c>
      <c r="M63">
        <v>557</v>
      </c>
      <c r="N63">
        <v>2.2000000000000002</v>
      </c>
      <c r="O63" s="16">
        <v>2.2000000000000002</v>
      </c>
      <c r="P63">
        <v>43.5</v>
      </c>
      <c r="Q63">
        <f t="shared" si="3"/>
        <v>24229.5</v>
      </c>
    </row>
    <row r="64" spans="1:17" x14ac:dyDescent="0.35">
      <c r="A64">
        <v>63</v>
      </c>
      <c r="B64">
        <v>12</v>
      </c>
      <c r="C64" t="str">
        <f>VLOOKUP(A64, Dissect!A:Q, 6)</f>
        <v>F</v>
      </c>
      <c r="D64" s="2" t="s">
        <v>131</v>
      </c>
      <c r="E64" s="2">
        <v>44902</v>
      </c>
      <c r="F64">
        <v>70</v>
      </c>
      <c r="G64">
        <v>1.9</v>
      </c>
      <c r="H64">
        <v>0.9</v>
      </c>
      <c r="I64">
        <v>48.5</v>
      </c>
      <c r="J64">
        <f t="shared" si="2"/>
        <v>3395</v>
      </c>
      <c r="K64" s="2">
        <v>44908</v>
      </c>
      <c r="L64" s="2" t="s">
        <v>131</v>
      </c>
      <c r="M64">
        <v>401</v>
      </c>
      <c r="N64">
        <v>2.2000000000000002</v>
      </c>
      <c r="O64" s="16">
        <v>1.8</v>
      </c>
      <c r="P64">
        <v>43.5</v>
      </c>
      <c r="Q64">
        <f t="shared" si="3"/>
        <v>17443.5</v>
      </c>
    </row>
    <row r="65" spans="1:17" x14ac:dyDescent="0.35">
      <c r="A65">
        <v>64</v>
      </c>
      <c r="B65">
        <v>12</v>
      </c>
      <c r="C65" t="str">
        <f>VLOOKUP(A65, Dissect!A:Q, 6)</f>
        <v>F</v>
      </c>
      <c r="D65" s="2" t="s">
        <v>131</v>
      </c>
      <c r="E65" s="2">
        <v>44902</v>
      </c>
      <c r="F65">
        <v>109</v>
      </c>
      <c r="G65">
        <v>2</v>
      </c>
      <c r="H65">
        <v>2.2000000000000002</v>
      </c>
      <c r="I65">
        <v>48.5</v>
      </c>
      <c r="J65">
        <f t="shared" si="2"/>
        <v>5286.5</v>
      </c>
      <c r="K65" s="2">
        <v>44908</v>
      </c>
      <c r="L65" s="2" t="s">
        <v>131</v>
      </c>
      <c r="M65">
        <v>625</v>
      </c>
      <c r="N65">
        <v>2.2000000000000002</v>
      </c>
      <c r="O65" s="16">
        <v>2.2000000000000002</v>
      </c>
      <c r="P65">
        <v>43.5</v>
      </c>
      <c r="Q65">
        <f t="shared" si="3"/>
        <v>27187.5</v>
      </c>
    </row>
    <row r="66" spans="1:17" x14ac:dyDescent="0.35">
      <c r="A66">
        <v>65</v>
      </c>
      <c r="B66">
        <v>10</v>
      </c>
      <c r="C66" t="str">
        <f>VLOOKUP(A66, Dissect!A:Q, 6)</f>
        <v>M</v>
      </c>
      <c r="D66" s="2" t="s">
        <v>131</v>
      </c>
      <c r="E66" s="2">
        <v>44902</v>
      </c>
      <c r="F66">
        <v>89</v>
      </c>
      <c r="G66">
        <v>1.9</v>
      </c>
      <c r="H66">
        <v>2.2000000000000002</v>
      </c>
      <c r="I66">
        <v>48.5</v>
      </c>
      <c r="J66">
        <f t="shared" ref="J66:J97" si="4">I66*F66</f>
        <v>4316.5</v>
      </c>
      <c r="K66" s="2">
        <v>44908</v>
      </c>
      <c r="L66" s="2" t="s">
        <v>131</v>
      </c>
      <c r="M66">
        <v>287</v>
      </c>
      <c r="N66">
        <v>2.2000000000000002</v>
      </c>
      <c r="O66" s="16">
        <v>2.1</v>
      </c>
      <c r="P66">
        <v>43.5</v>
      </c>
      <c r="Q66">
        <f t="shared" ref="Q66:Q97" si="5">M66*P66</f>
        <v>12484.5</v>
      </c>
    </row>
    <row r="67" spans="1:17" x14ac:dyDescent="0.35">
      <c r="A67">
        <v>66</v>
      </c>
      <c r="B67">
        <v>10</v>
      </c>
      <c r="C67" t="str">
        <f>VLOOKUP(A67, Dissect!A:Q, 6)</f>
        <v>M</v>
      </c>
      <c r="D67" s="2" t="s">
        <v>131</v>
      </c>
      <c r="E67" s="2">
        <v>44902</v>
      </c>
      <c r="F67">
        <v>34</v>
      </c>
      <c r="G67">
        <v>1.8</v>
      </c>
      <c r="H67">
        <v>1.4</v>
      </c>
      <c r="I67">
        <v>48.5</v>
      </c>
      <c r="J67">
        <f t="shared" si="4"/>
        <v>1649</v>
      </c>
      <c r="K67" s="2">
        <v>44908</v>
      </c>
      <c r="L67" s="2" t="s">
        <v>131</v>
      </c>
      <c r="M67">
        <v>107</v>
      </c>
      <c r="N67">
        <v>2.2000000000000002</v>
      </c>
      <c r="O67" s="16">
        <v>1.9</v>
      </c>
      <c r="P67">
        <v>43.5</v>
      </c>
      <c r="Q67">
        <f t="shared" si="5"/>
        <v>4654.5</v>
      </c>
    </row>
    <row r="68" spans="1:17" x14ac:dyDescent="0.35">
      <c r="A68">
        <v>67</v>
      </c>
      <c r="B68">
        <v>9</v>
      </c>
      <c r="C68" t="str">
        <f>VLOOKUP(A68, Dissect!A:Q, 6)</f>
        <v>F</v>
      </c>
      <c r="D68" s="2" t="s">
        <v>131</v>
      </c>
      <c r="E68" s="2">
        <v>44902</v>
      </c>
      <c r="F68">
        <v>57</v>
      </c>
      <c r="G68">
        <v>1.9</v>
      </c>
      <c r="H68">
        <v>1.8</v>
      </c>
      <c r="I68">
        <v>48.5</v>
      </c>
      <c r="J68">
        <f t="shared" si="4"/>
        <v>2764.5</v>
      </c>
      <c r="K68" s="2">
        <v>44908</v>
      </c>
      <c r="L68" s="2" t="s">
        <v>131</v>
      </c>
      <c r="M68">
        <v>384</v>
      </c>
      <c r="N68">
        <v>2.2000000000000002</v>
      </c>
      <c r="O68" s="16">
        <v>2.2000000000000002</v>
      </c>
      <c r="P68">
        <v>43.5</v>
      </c>
      <c r="Q68">
        <f t="shared" si="5"/>
        <v>16704</v>
      </c>
    </row>
    <row r="69" spans="1:17" x14ac:dyDescent="0.35">
      <c r="A69">
        <v>68</v>
      </c>
      <c r="B69">
        <v>9</v>
      </c>
      <c r="C69" t="str">
        <f>VLOOKUP(A69, Dissect!A:Q, 6)</f>
        <v>F</v>
      </c>
      <c r="D69" s="2" t="s">
        <v>131</v>
      </c>
      <c r="E69" s="2">
        <v>44902</v>
      </c>
      <c r="F69">
        <v>516</v>
      </c>
      <c r="G69">
        <v>2.1</v>
      </c>
      <c r="H69">
        <v>2.2999999999999998</v>
      </c>
      <c r="I69">
        <v>48.5</v>
      </c>
      <c r="J69">
        <f t="shared" si="4"/>
        <v>25026</v>
      </c>
      <c r="K69" s="2">
        <v>44908</v>
      </c>
      <c r="L69" s="2" t="s">
        <v>131</v>
      </c>
      <c r="M69">
        <v>716</v>
      </c>
      <c r="N69">
        <v>2.2000000000000002</v>
      </c>
      <c r="O69" s="16">
        <v>2.2999999999999998</v>
      </c>
      <c r="P69">
        <v>43.5</v>
      </c>
      <c r="Q69">
        <f t="shared" si="5"/>
        <v>31146</v>
      </c>
    </row>
    <row r="70" spans="1:17" x14ac:dyDescent="0.35">
      <c r="A70">
        <v>69</v>
      </c>
      <c r="B70">
        <v>12</v>
      </c>
      <c r="C70" t="str">
        <f>VLOOKUP(A70, Dissect!A:Q, 6)</f>
        <v>F</v>
      </c>
      <c r="D70" s="2" t="s">
        <v>131</v>
      </c>
      <c r="E70" s="2">
        <v>44902</v>
      </c>
      <c r="F70">
        <v>117</v>
      </c>
      <c r="G70">
        <v>2</v>
      </c>
      <c r="H70">
        <v>2.2000000000000002</v>
      </c>
      <c r="I70">
        <v>48.5</v>
      </c>
      <c r="J70">
        <f t="shared" si="4"/>
        <v>5674.5</v>
      </c>
      <c r="K70" s="2">
        <v>44908</v>
      </c>
      <c r="L70" s="2" t="s">
        <v>131</v>
      </c>
      <c r="M70">
        <v>1771</v>
      </c>
      <c r="N70">
        <v>2.1</v>
      </c>
      <c r="O70" s="16">
        <v>2.2000000000000002</v>
      </c>
      <c r="P70">
        <v>43.5</v>
      </c>
      <c r="Q70">
        <f t="shared" si="5"/>
        <v>77038.5</v>
      </c>
    </row>
    <row r="71" spans="1:17" x14ac:dyDescent="0.35">
      <c r="A71">
        <v>70</v>
      </c>
      <c r="B71">
        <v>10</v>
      </c>
      <c r="C71" t="str">
        <f>VLOOKUP(A71, Dissect!A:Q, 6)</f>
        <v>F</v>
      </c>
      <c r="D71" s="2" t="s">
        <v>131</v>
      </c>
      <c r="E71" s="2">
        <v>44902</v>
      </c>
      <c r="F71">
        <v>41</v>
      </c>
      <c r="G71">
        <v>1.9</v>
      </c>
      <c r="H71">
        <v>1.7</v>
      </c>
      <c r="I71">
        <v>48.5</v>
      </c>
      <c r="J71">
        <f t="shared" si="4"/>
        <v>1988.5</v>
      </c>
      <c r="K71" s="2">
        <v>44908</v>
      </c>
      <c r="L71" s="2" t="s">
        <v>131</v>
      </c>
      <c r="M71">
        <v>363</v>
      </c>
      <c r="N71">
        <v>2.2000000000000002</v>
      </c>
      <c r="O71" s="16">
        <v>2.1</v>
      </c>
      <c r="P71">
        <v>43.5</v>
      </c>
      <c r="Q71">
        <f t="shared" si="5"/>
        <v>15790.5</v>
      </c>
    </row>
    <row r="72" spans="1:17" x14ac:dyDescent="0.35">
      <c r="A72">
        <v>71</v>
      </c>
      <c r="B72">
        <v>10</v>
      </c>
      <c r="C72" t="str">
        <f>VLOOKUP(A72, Dissect!A:Q, 6)</f>
        <v>M</v>
      </c>
      <c r="D72" s="2" t="s">
        <v>131</v>
      </c>
      <c r="E72" s="2">
        <v>44902</v>
      </c>
      <c r="F72">
        <v>86</v>
      </c>
      <c r="G72">
        <v>1.9</v>
      </c>
      <c r="H72">
        <v>2</v>
      </c>
      <c r="I72">
        <v>48.5</v>
      </c>
      <c r="J72">
        <f t="shared" si="4"/>
        <v>4171</v>
      </c>
      <c r="K72" s="2">
        <v>44908</v>
      </c>
      <c r="L72" s="2" t="s">
        <v>131</v>
      </c>
      <c r="M72">
        <v>355</v>
      </c>
      <c r="N72">
        <v>2.2000000000000002</v>
      </c>
      <c r="O72" s="16">
        <v>2.2000000000000002</v>
      </c>
      <c r="P72">
        <v>43.5</v>
      </c>
      <c r="Q72">
        <f t="shared" si="5"/>
        <v>15442.5</v>
      </c>
    </row>
    <row r="73" spans="1:17" x14ac:dyDescent="0.35">
      <c r="A73">
        <v>72</v>
      </c>
      <c r="B73">
        <v>9</v>
      </c>
      <c r="C73" t="str">
        <f>VLOOKUP(A73, Dissect!A:Q, 6)</f>
        <v>M</v>
      </c>
      <c r="D73" s="2" t="s">
        <v>131</v>
      </c>
      <c r="E73" s="2">
        <v>44902</v>
      </c>
      <c r="F73">
        <v>54</v>
      </c>
      <c r="G73">
        <v>1.9</v>
      </c>
      <c r="H73">
        <v>2.1</v>
      </c>
      <c r="I73">
        <v>48.5</v>
      </c>
      <c r="J73">
        <f t="shared" si="4"/>
        <v>2619</v>
      </c>
      <c r="K73" s="2">
        <v>44908</v>
      </c>
      <c r="L73" s="2" t="s">
        <v>131</v>
      </c>
      <c r="M73">
        <v>149</v>
      </c>
      <c r="N73">
        <v>2.2000000000000002</v>
      </c>
      <c r="O73" s="16">
        <v>1.6</v>
      </c>
      <c r="P73">
        <v>43.5</v>
      </c>
      <c r="Q73">
        <f t="shared" si="5"/>
        <v>6481.5</v>
      </c>
    </row>
    <row r="74" spans="1:17" x14ac:dyDescent="0.35">
      <c r="A74">
        <v>73</v>
      </c>
      <c r="B74">
        <v>9</v>
      </c>
      <c r="C74" t="str">
        <f>VLOOKUP(A74, Dissect!A:Q, 6)</f>
        <v>F</v>
      </c>
      <c r="D74" s="2" t="s">
        <v>131</v>
      </c>
      <c r="E74" s="2">
        <v>44902</v>
      </c>
      <c r="F74">
        <v>150</v>
      </c>
      <c r="G74">
        <v>2</v>
      </c>
      <c r="H74">
        <v>1</v>
      </c>
      <c r="I74">
        <v>48.5</v>
      </c>
      <c r="J74">
        <f t="shared" si="4"/>
        <v>7275</v>
      </c>
      <c r="K74" s="2">
        <v>44910</v>
      </c>
      <c r="L74" s="2" t="s">
        <v>131</v>
      </c>
      <c r="M74">
        <v>521</v>
      </c>
      <c r="N74">
        <v>2.2000000000000002</v>
      </c>
      <c r="O74" s="16">
        <v>2.2000000000000002</v>
      </c>
      <c r="P74">
        <v>43.5</v>
      </c>
      <c r="Q74">
        <f t="shared" si="5"/>
        <v>22663.5</v>
      </c>
    </row>
    <row r="75" spans="1:17" x14ac:dyDescent="0.35">
      <c r="A75">
        <v>74</v>
      </c>
      <c r="B75">
        <v>9</v>
      </c>
      <c r="C75" t="str">
        <f>VLOOKUP(A75, Dissect!A:Q, 6)</f>
        <v>M</v>
      </c>
      <c r="D75" s="2" t="s">
        <v>131</v>
      </c>
      <c r="E75" s="2">
        <v>44902</v>
      </c>
      <c r="F75">
        <v>73</v>
      </c>
      <c r="G75">
        <v>1.9</v>
      </c>
      <c r="H75">
        <v>1.9</v>
      </c>
      <c r="I75">
        <v>48.5</v>
      </c>
      <c r="J75">
        <f t="shared" si="4"/>
        <v>3540.5</v>
      </c>
      <c r="K75" s="2">
        <v>44910</v>
      </c>
      <c r="L75" s="2" t="s">
        <v>131</v>
      </c>
      <c r="M75">
        <v>112</v>
      </c>
      <c r="N75">
        <v>2.1</v>
      </c>
      <c r="O75" s="16">
        <v>1.9</v>
      </c>
      <c r="P75">
        <v>43.5</v>
      </c>
      <c r="Q75">
        <f t="shared" si="5"/>
        <v>4872</v>
      </c>
    </row>
    <row r="76" spans="1:17" x14ac:dyDescent="0.35">
      <c r="A76">
        <v>75</v>
      </c>
      <c r="B76">
        <v>9</v>
      </c>
      <c r="C76" t="str">
        <f>VLOOKUP(A76, Dissect!A:Q, 6)</f>
        <v>F</v>
      </c>
      <c r="D76" s="2" t="s">
        <v>131</v>
      </c>
      <c r="E76" s="2">
        <v>44902</v>
      </c>
      <c r="F76">
        <v>109</v>
      </c>
      <c r="G76">
        <v>1.9</v>
      </c>
      <c r="H76">
        <v>1.7</v>
      </c>
      <c r="I76">
        <v>48.5</v>
      </c>
      <c r="J76">
        <f t="shared" si="4"/>
        <v>5286.5</v>
      </c>
      <c r="K76" s="2">
        <v>44910</v>
      </c>
      <c r="L76" s="2" t="s">
        <v>131</v>
      </c>
      <c r="M76">
        <v>643</v>
      </c>
      <c r="N76">
        <v>2.2000000000000002</v>
      </c>
      <c r="O76" s="16">
        <v>2.1</v>
      </c>
      <c r="P76">
        <v>43.5</v>
      </c>
      <c r="Q76">
        <f t="shared" si="5"/>
        <v>27970.5</v>
      </c>
    </row>
    <row r="77" spans="1:17" x14ac:dyDescent="0.35">
      <c r="A77">
        <v>76</v>
      </c>
      <c r="B77">
        <v>8</v>
      </c>
      <c r="C77" t="str">
        <f>VLOOKUP(A77, Dissect!A:Q, 6)</f>
        <v>F</v>
      </c>
      <c r="D77" s="2" t="s">
        <v>131</v>
      </c>
      <c r="E77" s="2">
        <v>44902</v>
      </c>
      <c r="F77">
        <v>126</v>
      </c>
      <c r="G77">
        <v>2</v>
      </c>
      <c r="H77">
        <v>2.2999999999999998</v>
      </c>
      <c r="I77">
        <v>48.5</v>
      </c>
      <c r="J77">
        <f t="shared" si="4"/>
        <v>6111</v>
      </c>
      <c r="K77" s="2">
        <v>44910</v>
      </c>
      <c r="L77" s="2" t="s">
        <v>131</v>
      </c>
      <c r="M77">
        <v>458</v>
      </c>
      <c r="N77">
        <v>2.2000000000000002</v>
      </c>
      <c r="O77" s="16">
        <v>2.2000000000000002</v>
      </c>
      <c r="P77">
        <v>43.5</v>
      </c>
      <c r="Q77">
        <f t="shared" si="5"/>
        <v>19923</v>
      </c>
    </row>
    <row r="78" spans="1:17" x14ac:dyDescent="0.35">
      <c r="A78">
        <v>77</v>
      </c>
      <c r="B78">
        <v>8</v>
      </c>
      <c r="C78" t="str">
        <f>VLOOKUP(A78, Dissect!A:Q, 6)</f>
        <v>F</v>
      </c>
      <c r="D78" s="2" t="s">
        <v>131</v>
      </c>
      <c r="E78" s="2">
        <v>44902</v>
      </c>
      <c r="F78">
        <v>201</v>
      </c>
      <c r="G78">
        <v>2</v>
      </c>
      <c r="H78">
        <v>1.9</v>
      </c>
      <c r="I78">
        <v>48.5</v>
      </c>
      <c r="J78">
        <f t="shared" si="4"/>
        <v>9748.5</v>
      </c>
      <c r="K78" s="2">
        <v>44910</v>
      </c>
      <c r="L78" s="2" t="s">
        <v>131</v>
      </c>
      <c r="M78">
        <v>592</v>
      </c>
      <c r="N78">
        <v>2.2000000000000002</v>
      </c>
      <c r="O78" s="16">
        <v>2.2000000000000002</v>
      </c>
      <c r="P78">
        <v>43.5</v>
      </c>
      <c r="Q78">
        <f t="shared" si="5"/>
        <v>25752</v>
      </c>
    </row>
    <row r="79" spans="1:17" x14ac:dyDescent="0.35">
      <c r="A79">
        <v>78</v>
      </c>
      <c r="B79">
        <v>7</v>
      </c>
      <c r="C79" t="str">
        <f>VLOOKUP(A79, Dissect!A:Q, 6)</f>
        <v>F</v>
      </c>
      <c r="D79" s="2" t="s">
        <v>131</v>
      </c>
      <c r="E79" s="2">
        <v>44902</v>
      </c>
      <c r="F79">
        <v>181</v>
      </c>
      <c r="G79">
        <v>2</v>
      </c>
      <c r="H79">
        <v>2.2999999999999998</v>
      </c>
      <c r="I79">
        <v>48.5</v>
      </c>
      <c r="J79">
        <f t="shared" si="4"/>
        <v>8778.5</v>
      </c>
      <c r="K79" s="2">
        <v>44910</v>
      </c>
      <c r="L79" s="2" t="s">
        <v>131</v>
      </c>
      <c r="M79">
        <v>467</v>
      </c>
      <c r="N79">
        <v>2.2000000000000002</v>
      </c>
      <c r="O79" s="16">
        <v>2.2000000000000002</v>
      </c>
      <c r="P79">
        <v>43.5</v>
      </c>
      <c r="Q79">
        <f t="shared" si="5"/>
        <v>20314.5</v>
      </c>
    </row>
    <row r="80" spans="1:17" x14ac:dyDescent="0.35">
      <c r="A80">
        <v>79</v>
      </c>
      <c r="B80">
        <v>7</v>
      </c>
      <c r="C80" t="str">
        <f>VLOOKUP(A80, Dissect!A:Q, 6)</f>
        <v>F</v>
      </c>
      <c r="D80" s="2" t="s">
        <v>131</v>
      </c>
      <c r="E80" s="2">
        <v>44902</v>
      </c>
      <c r="F80">
        <v>9</v>
      </c>
      <c r="G80">
        <v>1.6</v>
      </c>
      <c r="H80">
        <v>1.3</v>
      </c>
      <c r="I80">
        <v>48.5</v>
      </c>
      <c r="J80">
        <f t="shared" si="4"/>
        <v>436.5</v>
      </c>
      <c r="K80" s="2">
        <v>44910</v>
      </c>
      <c r="L80" s="2" t="s">
        <v>131</v>
      </c>
      <c r="M80">
        <v>33</v>
      </c>
      <c r="N80">
        <v>1.9</v>
      </c>
      <c r="O80" s="16">
        <v>1.2</v>
      </c>
      <c r="P80">
        <v>43.5</v>
      </c>
      <c r="Q80">
        <f t="shared" si="5"/>
        <v>1435.5</v>
      </c>
    </row>
    <row r="81" spans="1:17" x14ac:dyDescent="0.35">
      <c r="A81">
        <v>80</v>
      </c>
      <c r="B81">
        <v>6</v>
      </c>
      <c r="C81" t="str">
        <f>VLOOKUP(A81, Dissect!A:Q, 6)</f>
        <v>F</v>
      </c>
      <c r="D81" s="2" t="s">
        <v>131</v>
      </c>
      <c r="E81" s="2">
        <v>44902</v>
      </c>
      <c r="F81">
        <v>287</v>
      </c>
      <c r="G81">
        <v>2.1</v>
      </c>
      <c r="H81">
        <v>1</v>
      </c>
      <c r="I81">
        <v>48.5</v>
      </c>
      <c r="J81">
        <f t="shared" si="4"/>
        <v>13919.5</v>
      </c>
      <c r="K81" s="2">
        <v>44910</v>
      </c>
      <c r="L81" s="2" t="s">
        <v>131</v>
      </c>
      <c r="M81">
        <v>499</v>
      </c>
      <c r="N81">
        <v>2.2000000000000002</v>
      </c>
      <c r="O81" s="16">
        <v>2.2000000000000002</v>
      </c>
      <c r="P81">
        <v>43.5</v>
      </c>
      <c r="Q81">
        <f t="shared" si="5"/>
        <v>21706.5</v>
      </c>
    </row>
    <row r="82" spans="1:17" x14ac:dyDescent="0.35">
      <c r="A82">
        <v>81</v>
      </c>
      <c r="B82">
        <v>6</v>
      </c>
      <c r="C82" t="str">
        <f>VLOOKUP(A82, Dissect!A:Q, 6)</f>
        <v>M</v>
      </c>
      <c r="D82" s="2" t="s">
        <v>131</v>
      </c>
      <c r="E82" s="2">
        <v>44902</v>
      </c>
      <c r="F82">
        <v>280</v>
      </c>
      <c r="G82">
        <v>2</v>
      </c>
      <c r="H82">
        <v>2</v>
      </c>
      <c r="I82">
        <v>48.5</v>
      </c>
      <c r="J82">
        <f t="shared" si="4"/>
        <v>13580</v>
      </c>
      <c r="K82" s="2">
        <v>44910</v>
      </c>
      <c r="L82" s="2" t="s">
        <v>131</v>
      </c>
      <c r="M82">
        <v>127</v>
      </c>
      <c r="N82">
        <v>2.2000000000000002</v>
      </c>
      <c r="O82" s="16">
        <v>2.1</v>
      </c>
      <c r="P82">
        <v>43.5</v>
      </c>
      <c r="Q82">
        <f t="shared" si="5"/>
        <v>5524.5</v>
      </c>
    </row>
    <row r="83" spans="1:17" x14ac:dyDescent="0.35">
      <c r="A83">
        <v>82</v>
      </c>
      <c r="B83">
        <v>8</v>
      </c>
      <c r="C83" t="str">
        <f>VLOOKUP(A83, Dissect!A:Q, 6)</f>
        <v>F</v>
      </c>
      <c r="D83" s="2" t="s">
        <v>131</v>
      </c>
      <c r="E83" s="2">
        <v>44902</v>
      </c>
      <c r="F83">
        <v>104</v>
      </c>
      <c r="G83">
        <v>2</v>
      </c>
      <c r="H83">
        <v>2.2999999999999998</v>
      </c>
      <c r="I83">
        <v>48.5</v>
      </c>
      <c r="J83">
        <f t="shared" si="4"/>
        <v>5044</v>
      </c>
      <c r="K83" s="2">
        <v>44910</v>
      </c>
      <c r="L83" s="2" t="s">
        <v>131</v>
      </c>
      <c r="M83">
        <v>291</v>
      </c>
      <c r="N83">
        <v>2.2000000000000002</v>
      </c>
      <c r="O83" s="16">
        <v>2.1</v>
      </c>
      <c r="P83">
        <v>43.5</v>
      </c>
      <c r="Q83">
        <f t="shared" si="5"/>
        <v>12658.5</v>
      </c>
    </row>
    <row r="84" spans="1:17" x14ac:dyDescent="0.35">
      <c r="A84">
        <v>83</v>
      </c>
      <c r="B84">
        <v>8</v>
      </c>
      <c r="C84" t="str">
        <f>VLOOKUP(A84, Dissect!A:Q, 6)</f>
        <v>M</v>
      </c>
      <c r="D84" s="2" t="s">
        <v>131</v>
      </c>
      <c r="E84" s="2">
        <v>44902</v>
      </c>
      <c r="F84">
        <v>20</v>
      </c>
      <c r="G84">
        <v>1.8</v>
      </c>
      <c r="H84">
        <v>1.7</v>
      </c>
      <c r="I84">
        <v>48.5</v>
      </c>
      <c r="J84">
        <f t="shared" si="4"/>
        <v>970</v>
      </c>
      <c r="K84" s="2">
        <v>44910</v>
      </c>
      <c r="L84" s="2" t="s">
        <v>131</v>
      </c>
      <c r="M84">
        <v>51</v>
      </c>
      <c r="N84">
        <v>2.1</v>
      </c>
      <c r="O84" s="16">
        <v>1.5</v>
      </c>
      <c r="P84">
        <v>43.5</v>
      </c>
      <c r="Q84">
        <f t="shared" si="5"/>
        <v>2218.5</v>
      </c>
    </row>
    <row r="85" spans="1:17" x14ac:dyDescent="0.35">
      <c r="A85">
        <v>84</v>
      </c>
      <c r="B85">
        <v>7</v>
      </c>
      <c r="C85" t="str">
        <f>VLOOKUP(A85, Dissect!A:Q, 6)</f>
        <v>M</v>
      </c>
      <c r="D85" s="2" t="s">
        <v>131</v>
      </c>
      <c r="E85" s="2">
        <v>44902</v>
      </c>
      <c r="F85">
        <v>12</v>
      </c>
      <c r="G85">
        <v>1.7</v>
      </c>
      <c r="H85">
        <v>1.6</v>
      </c>
      <c r="I85">
        <v>48.5</v>
      </c>
      <c r="J85">
        <f t="shared" si="4"/>
        <v>582</v>
      </c>
      <c r="K85" s="2">
        <v>44910</v>
      </c>
      <c r="L85" s="2" t="s">
        <v>131</v>
      </c>
      <c r="M85">
        <v>29</v>
      </c>
      <c r="N85">
        <v>2.1</v>
      </c>
      <c r="O85" s="16">
        <v>1</v>
      </c>
      <c r="P85">
        <v>43.5</v>
      </c>
      <c r="Q85">
        <f t="shared" si="5"/>
        <v>1261.5</v>
      </c>
    </row>
    <row r="86" spans="1:17" x14ac:dyDescent="0.35">
      <c r="A86">
        <v>85</v>
      </c>
      <c r="B86">
        <v>7</v>
      </c>
      <c r="C86" t="str">
        <f>VLOOKUP(A86, Dissect!A:Q, 6)</f>
        <v>F</v>
      </c>
      <c r="D86" s="2" t="s">
        <v>131</v>
      </c>
      <c r="E86" s="2">
        <v>44902</v>
      </c>
      <c r="F86">
        <v>104</v>
      </c>
      <c r="G86">
        <v>7.9</v>
      </c>
      <c r="H86">
        <v>2.2999999999999998</v>
      </c>
      <c r="I86">
        <v>48.5</v>
      </c>
      <c r="J86">
        <f t="shared" si="4"/>
        <v>5044</v>
      </c>
      <c r="K86" s="2">
        <v>44910</v>
      </c>
      <c r="L86" s="2" t="s">
        <v>131</v>
      </c>
      <c r="M86">
        <v>314</v>
      </c>
      <c r="N86">
        <v>2.2000000000000002</v>
      </c>
      <c r="O86" s="16">
        <v>2.1</v>
      </c>
      <c r="P86">
        <v>43.5</v>
      </c>
      <c r="Q86">
        <f t="shared" si="5"/>
        <v>13659</v>
      </c>
    </row>
    <row r="87" spans="1:17" x14ac:dyDescent="0.35">
      <c r="A87">
        <v>86</v>
      </c>
      <c r="B87">
        <v>6</v>
      </c>
      <c r="C87" t="str">
        <f>VLOOKUP(A87, Dissect!A:Q, 6)</f>
        <v>F</v>
      </c>
      <c r="D87" s="2" t="s">
        <v>131</v>
      </c>
      <c r="E87" s="2">
        <v>44902</v>
      </c>
      <c r="F87">
        <v>82</v>
      </c>
      <c r="G87">
        <v>2</v>
      </c>
      <c r="H87">
        <v>2.1</v>
      </c>
      <c r="I87">
        <v>48.5</v>
      </c>
      <c r="J87">
        <f t="shared" si="4"/>
        <v>3977</v>
      </c>
      <c r="K87" s="2">
        <v>44910</v>
      </c>
      <c r="L87" s="2" t="s">
        <v>131</v>
      </c>
      <c r="M87">
        <v>528</v>
      </c>
      <c r="N87">
        <v>2.2000000000000002</v>
      </c>
      <c r="O87" s="16">
        <v>2.2000000000000002</v>
      </c>
      <c r="P87">
        <v>43.5</v>
      </c>
      <c r="Q87">
        <f t="shared" si="5"/>
        <v>22968</v>
      </c>
    </row>
    <row r="88" spans="1:17" x14ac:dyDescent="0.35">
      <c r="A88">
        <v>87</v>
      </c>
      <c r="B88">
        <v>6</v>
      </c>
      <c r="C88" t="str">
        <f>VLOOKUP(A88, Dissect!A:Q, 6)</f>
        <v>F</v>
      </c>
      <c r="D88" s="2" t="s">
        <v>131</v>
      </c>
      <c r="E88" s="2">
        <v>44902</v>
      </c>
      <c r="F88">
        <v>193</v>
      </c>
      <c r="G88">
        <v>2</v>
      </c>
      <c r="H88">
        <v>2.2999999999999998</v>
      </c>
      <c r="I88">
        <v>48.5</v>
      </c>
      <c r="J88">
        <f t="shared" si="4"/>
        <v>9360.5</v>
      </c>
      <c r="K88" s="2">
        <v>44910</v>
      </c>
      <c r="L88" s="2" t="s">
        <v>131</v>
      </c>
      <c r="M88">
        <v>195</v>
      </c>
      <c r="N88">
        <v>2.2000000000000002</v>
      </c>
      <c r="O88" s="16">
        <v>2.1</v>
      </c>
      <c r="P88">
        <v>43.5</v>
      </c>
      <c r="Q88">
        <f t="shared" si="5"/>
        <v>8482.5</v>
      </c>
    </row>
    <row r="89" spans="1:17" x14ac:dyDescent="0.35">
      <c r="A89">
        <v>88</v>
      </c>
      <c r="B89">
        <v>8</v>
      </c>
      <c r="C89" t="str">
        <f>VLOOKUP(A89, Dissect!A:Q, 6)</f>
        <v>M</v>
      </c>
      <c r="D89" s="2" t="s">
        <v>131</v>
      </c>
      <c r="E89" s="2">
        <v>44902</v>
      </c>
      <c r="F89">
        <v>70</v>
      </c>
      <c r="G89">
        <v>1.9</v>
      </c>
      <c r="H89">
        <v>2.1</v>
      </c>
      <c r="I89">
        <v>48.5</v>
      </c>
      <c r="J89">
        <f t="shared" si="4"/>
        <v>3395</v>
      </c>
      <c r="K89" s="2">
        <v>44910</v>
      </c>
      <c r="L89" s="2" t="s">
        <v>131</v>
      </c>
      <c r="M89">
        <v>163</v>
      </c>
      <c r="N89">
        <v>2.2000000000000002</v>
      </c>
      <c r="O89" s="16">
        <v>2.2000000000000002</v>
      </c>
      <c r="P89">
        <v>43.5</v>
      </c>
      <c r="Q89">
        <f t="shared" si="5"/>
        <v>7090.5</v>
      </c>
    </row>
    <row r="90" spans="1:17" x14ac:dyDescent="0.35">
      <c r="A90">
        <v>89</v>
      </c>
      <c r="B90">
        <v>8</v>
      </c>
      <c r="C90" t="str">
        <f>VLOOKUP(A90, Dissect!A:Q, 6)</f>
        <v>F</v>
      </c>
      <c r="D90" s="2" t="s">
        <v>131</v>
      </c>
      <c r="E90" s="2">
        <v>44902</v>
      </c>
      <c r="F90">
        <v>101</v>
      </c>
      <c r="G90">
        <v>2</v>
      </c>
      <c r="H90">
        <v>1</v>
      </c>
      <c r="I90">
        <v>48.5</v>
      </c>
      <c r="J90">
        <f t="shared" si="4"/>
        <v>4898.5</v>
      </c>
      <c r="K90" s="2">
        <v>44910</v>
      </c>
      <c r="L90" s="2" t="s">
        <v>131</v>
      </c>
      <c r="M90">
        <v>464</v>
      </c>
      <c r="N90">
        <v>2.2000000000000002</v>
      </c>
      <c r="O90" s="16">
        <v>1.9</v>
      </c>
      <c r="P90">
        <v>43.5</v>
      </c>
      <c r="Q90">
        <f t="shared" si="5"/>
        <v>20184</v>
      </c>
    </row>
    <row r="91" spans="1:17" x14ac:dyDescent="0.35">
      <c r="A91">
        <v>90</v>
      </c>
      <c r="B91">
        <v>7</v>
      </c>
      <c r="C91" t="str">
        <f>VLOOKUP(A91, Dissect!A:Q, 6)</f>
        <v>M</v>
      </c>
      <c r="D91" s="2" t="s">
        <v>131</v>
      </c>
      <c r="E91" s="2">
        <v>44902</v>
      </c>
      <c r="F91">
        <v>51</v>
      </c>
      <c r="G91">
        <v>1.9</v>
      </c>
      <c r="H91">
        <v>1.5</v>
      </c>
      <c r="I91">
        <v>48.5</v>
      </c>
      <c r="J91">
        <f t="shared" si="4"/>
        <v>2473.5</v>
      </c>
      <c r="K91" s="2">
        <v>44910</v>
      </c>
      <c r="L91" s="2" t="s">
        <v>131</v>
      </c>
      <c r="M91">
        <v>98</v>
      </c>
      <c r="N91">
        <v>2.2000000000000002</v>
      </c>
      <c r="O91" s="16">
        <v>2</v>
      </c>
      <c r="P91">
        <v>43.5</v>
      </c>
      <c r="Q91">
        <f t="shared" si="5"/>
        <v>4263</v>
      </c>
    </row>
    <row r="92" spans="1:17" x14ac:dyDescent="0.35">
      <c r="A92">
        <v>91</v>
      </c>
      <c r="B92">
        <v>7</v>
      </c>
      <c r="C92" t="str">
        <f>VLOOKUP(A92, Dissect!A:Q, 6)</f>
        <v>F</v>
      </c>
      <c r="D92" s="2" t="s">
        <v>131</v>
      </c>
      <c r="E92" s="2">
        <v>44902</v>
      </c>
      <c r="F92">
        <v>143</v>
      </c>
      <c r="G92">
        <v>1.9</v>
      </c>
      <c r="H92">
        <v>2.2999999999999998</v>
      </c>
      <c r="I92">
        <v>48.5</v>
      </c>
      <c r="J92">
        <f t="shared" si="4"/>
        <v>6935.5</v>
      </c>
      <c r="K92" s="2">
        <v>44910</v>
      </c>
      <c r="L92" s="2" t="s">
        <v>131</v>
      </c>
      <c r="M92">
        <v>243</v>
      </c>
      <c r="N92">
        <v>2.2000000000000002</v>
      </c>
      <c r="O92" s="16">
        <v>1.9</v>
      </c>
      <c r="P92">
        <v>43.5</v>
      </c>
      <c r="Q92">
        <f t="shared" si="5"/>
        <v>10570.5</v>
      </c>
    </row>
    <row r="93" spans="1:17" x14ac:dyDescent="0.35">
      <c r="A93">
        <v>92</v>
      </c>
      <c r="B93">
        <v>6</v>
      </c>
      <c r="C93" t="str">
        <f>VLOOKUP(A93, Dissect!A:Q, 6)</f>
        <v>F</v>
      </c>
      <c r="D93" s="2" t="s">
        <v>131</v>
      </c>
      <c r="E93" s="2">
        <v>44902</v>
      </c>
      <c r="F93">
        <v>57</v>
      </c>
      <c r="G93">
        <v>1.9</v>
      </c>
      <c r="H93">
        <v>1.2</v>
      </c>
      <c r="I93">
        <v>48.5</v>
      </c>
      <c r="J93">
        <f t="shared" si="4"/>
        <v>2764.5</v>
      </c>
      <c r="K93" s="2">
        <v>44910</v>
      </c>
      <c r="L93" s="2" t="s">
        <v>131</v>
      </c>
      <c r="M93">
        <v>272</v>
      </c>
      <c r="N93">
        <v>2.2000000000000002</v>
      </c>
      <c r="O93" s="16">
        <v>2.1</v>
      </c>
      <c r="P93">
        <v>43.5</v>
      </c>
      <c r="Q93">
        <f t="shared" si="5"/>
        <v>11832</v>
      </c>
    </row>
    <row r="94" spans="1:17" x14ac:dyDescent="0.35">
      <c r="A94">
        <v>93</v>
      </c>
      <c r="B94">
        <v>8</v>
      </c>
      <c r="C94" t="str">
        <f>VLOOKUP(A94, Dissect!A:Q, 6)</f>
        <v>F</v>
      </c>
      <c r="D94" s="2" t="s">
        <v>131</v>
      </c>
      <c r="E94" s="2">
        <v>44902</v>
      </c>
      <c r="F94">
        <v>103</v>
      </c>
      <c r="G94">
        <v>2</v>
      </c>
      <c r="H94">
        <v>1.7</v>
      </c>
      <c r="I94">
        <v>48.5</v>
      </c>
      <c r="J94">
        <f t="shared" si="4"/>
        <v>4995.5</v>
      </c>
      <c r="K94" s="2">
        <v>44910</v>
      </c>
      <c r="L94" s="2" t="s">
        <v>131</v>
      </c>
      <c r="M94">
        <v>247</v>
      </c>
      <c r="N94">
        <v>2.2000000000000002</v>
      </c>
      <c r="O94" s="16">
        <v>0.6</v>
      </c>
      <c r="P94">
        <v>43.5</v>
      </c>
      <c r="Q94">
        <f t="shared" si="5"/>
        <v>10744.5</v>
      </c>
    </row>
    <row r="95" spans="1:17" x14ac:dyDescent="0.35">
      <c r="A95">
        <v>94</v>
      </c>
      <c r="B95">
        <v>8</v>
      </c>
      <c r="C95" t="str">
        <f>VLOOKUP(A95, Dissect!A:Q, 6)</f>
        <v>M</v>
      </c>
      <c r="D95" s="2" t="s">
        <v>131</v>
      </c>
      <c r="E95" s="2">
        <v>44902</v>
      </c>
      <c r="F95">
        <v>111</v>
      </c>
      <c r="G95">
        <v>1.9</v>
      </c>
      <c r="H95">
        <v>2.2000000000000002</v>
      </c>
      <c r="I95">
        <v>48.5</v>
      </c>
      <c r="J95">
        <f t="shared" si="4"/>
        <v>5383.5</v>
      </c>
      <c r="K95" s="2">
        <v>44910</v>
      </c>
      <c r="L95" s="2" t="s">
        <v>131</v>
      </c>
      <c r="M95">
        <v>180</v>
      </c>
      <c r="N95">
        <v>2.2000000000000002</v>
      </c>
      <c r="O95" s="16">
        <v>2.2000000000000002</v>
      </c>
      <c r="P95">
        <v>43.5</v>
      </c>
      <c r="Q95">
        <f t="shared" si="5"/>
        <v>7830</v>
      </c>
    </row>
    <row r="96" spans="1:17" x14ac:dyDescent="0.35">
      <c r="A96">
        <v>95</v>
      </c>
      <c r="B96">
        <v>7</v>
      </c>
      <c r="C96" t="str">
        <f>VLOOKUP(A96, Dissect!A:Q, 6)</f>
        <v>M</v>
      </c>
      <c r="D96" s="2" t="s">
        <v>131</v>
      </c>
      <c r="E96" s="2">
        <v>44902</v>
      </c>
      <c r="F96">
        <v>49</v>
      </c>
      <c r="G96">
        <v>2</v>
      </c>
      <c r="H96">
        <v>2.1</v>
      </c>
      <c r="I96">
        <v>48.5</v>
      </c>
      <c r="J96">
        <f t="shared" si="4"/>
        <v>2376.5</v>
      </c>
      <c r="K96" s="2">
        <v>44910</v>
      </c>
      <c r="L96" s="2" t="s">
        <v>131</v>
      </c>
      <c r="M96">
        <v>81</v>
      </c>
      <c r="N96">
        <v>2.1</v>
      </c>
      <c r="O96" s="16">
        <v>0.4</v>
      </c>
      <c r="P96">
        <v>43.5</v>
      </c>
      <c r="Q96">
        <f t="shared" si="5"/>
        <v>3523.5</v>
      </c>
    </row>
    <row r="97" spans="1:17" x14ac:dyDescent="0.35">
      <c r="A97">
        <v>96</v>
      </c>
      <c r="B97">
        <v>7</v>
      </c>
      <c r="C97" t="str">
        <f>VLOOKUP(A97, Dissect!A:Q, 6)</f>
        <v>Im</v>
      </c>
      <c r="D97" s="2" t="s">
        <v>131</v>
      </c>
      <c r="E97" s="2">
        <v>44902</v>
      </c>
      <c r="F97">
        <v>15</v>
      </c>
      <c r="G97">
        <v>1.8</v>
      </c>
      <c r="H97">
        <v>1.3</v>
      </c>
      <c r="I97">
        <v>48.5</v>
      </c>
      <c r="J97">
        <f t="shared" si="4"/>
        <v>727.5</v>
      </c>
      <c r="K97" s="2">
        <v>44910</v>
      </c>
      <c r="L97" s="2" t="s">
        <v>131</v>
      </c>
      <c r="M97">
        <v>24</v>
      </c>
      <c r="N97">
        <v>2.1</v>
      </c>
      <c r="O97" s="16">
        <v>0.1</v>
      </c>
      <c r="P97">
        <v>43.5</v>
      </c>
      <c r="Q97">
        <f t="shared" si="5"/>
        <v>1044</v>
      </c>
    </row>
    <row r="98" spans="1:17" x14ac:dyDescent="0.35">
      <c r="A98">
        <v>97</v>
      </c>
      <c r="B98">
        <v>5</v>
      </c>
      <c r="C98" t="str">
        <f>VLOOKUP(A98, Dissect!A:Q, 6)</f>
        <v>M</v>
      </c>
      <c r="D98" s="2" t="s">
        <v>131</v>
      </c>
      <c r="E98" s="2">
        <v>44914</v>
      </c>
      <c r="F98">
        <v>73</v>
      </c>
      <c r="G98">
        <v>1.9</v>
      </c>
      <c r="H98">
        <v>0.2</v>
      </c>
      <c r="I98">
        <v>48.5</v>
      </c>
      <c r="J98">
        <f t="shared" ref="J98:J129" si="6">I98*F98</f>
        <v>3540.5</v>
      </c>
      <c r="K98" s="2">
        <v>44916</v>
      </c>
      <c r="L98" s="2" t="s">
        <v>131</v>
      </c>
      <c r="M98">
        <v>167</v>
      </c>
      <c r="N98">
        <v>2.2000000000000002</v>
      </c>
      <c r="O98" s="16">
        <v>1.9</v>
      </c>
      <c r="P98">
        <v>43.5</v>
      </c>
      <c r="Q98">
        <f t="shared" ref="Q98:Q129" si="7">M98*P98</f>
        <v>7264.5</v>
      </c>
    </row>
    <row r="99" spans="1:17" x14ac:dyDescent="0.35">
      <c r="A99">
        <v>98</v>
      </c>
      <c r="B99">
        <v>5</v>
      </c>
      <c r="C99" t="str">
        <f>VLOOKUP(A99, Dissect!A:Q, 6)</f>
        <v>M</v>
      </c>
      <c r="D99" s="2" t="s">
        <v>131</v>
      </c>
      <c r="E99" s="2">
        <v>44914</v>
      </c>
      <c r="F99">
        <v>114</v>
      </c>
      <c r="G99">
        <v>1.9</v>
      </c>
      <c r="H99">
        <v>0.2</v>
      </c>
      <c r="I99">
        <v>48.5</v>
      </c>
      <c r="J99">
        <f t="shared" si="6"/>
        <v>5529</v>
      </c>
      <c r="K99" s="2">
        <v>44916</v>
      </c>
      <c r="L99" s="2" t="s">
        <v>131</v>
      </c>
      <c r="M99">
        <v>243</v>
      </c>
      <c r="N99">
        <v>2.2000000000000002</v>
      </c>
      <c r="O99" s="16">
        <v>2.1</v>
      </c>
      <c r="P99">
        <v>43.5</v>
      </c>
      <c r="Q99">
        <f t="shared" si="7"/>
        <v>10570.5</v>
      </c>
    </row>
    <row r="100" spans="1:17" x14ac:dyDescent="0.35">
      <c r="A100">
        <v>99</v>
      </c>
      <c r="B100">
        <v>7</v>
      </c>
      <c r="C100" t="str">
        <f>VLOOKUP(A100, Dissect!A:Q, 6)</f>
        <v>M</v>
      </c>
      <c r="D100" s="2" t="s">
        <v>131</v>
      </c>
      <c r="E100" s="2">
        <v>44914</v>
      </c>
      <c r="F100">
        <v>47</v>
      </c>
      <c r="G100">
        <v>1.9</v>
      </c>
      <c r="H100">
        <v>0.2</v>
      </c>
      <c r="I100">
        <v>48.5</v>
      </c>
      <c r="J100">
        <f t="shared" si="6"/>
        <v>2279.5</v>
      </c>
      <c r="K100" s="2">
        <v>44916</v>
      </c>
      <c r="L100" s="2" t="s">
        <v>131</v>
      </c>
      <c r="M100">
        <v>110</v>
      </c>
      <c r="N100">
        <v>2.2000000000000002</v>
      </c>
      <c r="O100" s="16">
        <v>1.8</v>
      </c>
      <c r="P100">
        <v>43.5</v>
      </c>
      <c r="Q100">
        <f t="shared" si="7"/>
        <v>4785</v>
      </c>
    </row>
    <row r="101" spans="1:17" x14ac:dyDescent="0.35">
      <c r="A101">
        <v>100</v>
      </c>
      <c r="B101">
        <v>7</v>
      </c>
      <c r="C101" t="str">
        <f>VLOOKUP(A101, Dissect!A:Q, 6)</f>
        <v>M</v>
      </c>
      <c r="D101" s="2" t="s">
        <v>131</v>
      </c>
      <c r="E101" s="2">
        <v>44914</v>
      </c>
      <c r="F101">
        <v>38</v>
      </c>
      <c r="G101">
        <v>1.9</v>
      </c>
      <c r="H101">
        <v>0.1</v>
      </c>
      <c r="I101">
        <v>48.5</v>
      </c>
      <c r="J101">
        <f t="shared" si="6"/>
        <v>1843</v>
      </c>
      <c r="K101" s="2">
        <v>44916</v>
      </c>
      <c r="L101" s="2" t="s">
        <v>131</v>
      </c>
      <c r="M101">
        <v>122</v>
      </c>
      <c r="N101">
        <v>2.2000000000000002</v>
      </c>
      <c r="O101" s="16">
        <v>1.3</v>
      </c>
      <c r="P101">
        <v>43.5</v>
      </c>
      <c r="Q101">
        <f t="shared" si="7"/>
        <v>5307</v>
      </c>
    </row>
    <row r="102" spans="1:17" x14ac:dyDescent="0.35">
      <c r="A102">
        <v>101</v>
      </c>
      <c r="B102">
        <v>5</v>
      </c>
      <c r="C102" t="str">
        <f>VLOOKUP(A102, Dissect!A:Q, 6)</f>
        <v>F</v>
      </c>
      <c r="D102" s="2" t="s">
        <v>131</v>
      </c>
      <c r="E102" s="2">
        <v>44914</v>
      </c>
      <c r="F102">
        <v>99</v>
      </c>
      <c r="G102">
        <v>2</v>
      </c>
      <c r="H102">
        <v>2.1</v>
      </c>
      <c r="I102">
        <v>48.5</v>
      </c>
      <c r="J102">
        <f t="shared" si="6"/>
        <v>4801.5</v>
      </c>
      <c r="K102" s="2">
        <v>44916</v>
      </c>
      <c r="L102" s="2" t="s">
        <v>131</v>
      </c>
      <c r="M102">
        <v>1123</v>
      </c>
      <c r="N102">
        <v>2.2000000000000002</v>
      </c>
      <c r="O102" s="16">
        <v>2.2000000000000002</v>
      </c>
      <c r="P102">
        <v>43.5</v>
      </c>
      <c r="Q102">
        <f t="shared" si="7"/>
        <v>48850.5</v>
      </c>
    </row>
    <row r="103" spans="1:17" x14ac:dyDescent="0.35">
      <c r="A103">
        <v>102</v>
      </c>
      <c r="B103">
        <v>5</v>
      </c>
      <c r="C103" t="str">
        <f>VLOOKUP(A103, Dissect!A:Q, 6)</f>
        <v>F</v>
      </c>
      <c r="D103" s="2" t="s">
        <v>131</v>
      </c>
      <c r="E103" s="2">
        <v>44914</v>
      </c>
      <c r="F103">
        <v>106</v>
      </c>
      <c r="G103">
        <v>1.9</v>
      </c>
      <c r="H103">
        <v>2</v>
      </c>
      <c r="I103">
        <v>48.5</v>
      </c>
      <c r="J103">
        <f t="shared" si="6"/>
        <v>5141</v>
      </c>
      <c r="K103" s="2">
        <v>44916</v>
      </c>
      <c r="L103" s="2" t="s">
        <v>131</v>
      </c>
      <c r="M103">
        <v>965</v>
      </c>
      <c r="N103">
        <v>2.2000000000000002</v>
      </c>
      <c r="O103" s="16">
        <v>1.8</v>
      </c>
      <c r="P103">
        <v>43.5</v>
      </c>
      <c r="Q103">
        <f t="shared" si="7"/>
        <v>41977.5</v>
      </c>
    </row>
    <row r="104" spans="1:17" x14ac:dyDescent="0.35">
      <c r="A104">
        <v>103</v>
      </c>
      <c r="B104">
        <v>5</v>
      </c>
      <c r="C104" t="str">
        <f>VLOOKUP(A104, Dissect!A:Q, 6)</f>
        <v>F</v>
      </c>
      <c r="D104" s="2" t="s">
        <v>131</v>
      </c>
      <c r="E104" s="2">
        <v>44914</v>
      </c>
      <c r="F104">
        <v>97</v>
      </c>
      <c r="G104">
        <v>1.9</v>
      </c>
      <c r="H104">
        <v>2.1</v>
      </c>
      <c r="I104">
        <v>48.5</v>
      </c>
      <c r="J104">
        <f t="shared" si="6"/>
        <v>4704.5</v>
      </c>
      <c r="K104" s="2">
        <v>44916</v>
      </c>
      <c r="L104" s="2" t="s">
        <v>131</v>
      </c>
      <c r="M104">
        <v>713</v>
      </c>
      <c r="N104">
        <v>2.2000000000000002</v>
      </c>
      <c r="O104" s="16">
        <v>2.2000000000000002</v>
      </c>
      <c r="P104">
        <v>43.5</v>
      </c>
      <c r="Q104">
        <f t="shared" si="7"/>
        <v>31015.5</v>
      </c>
    </row>
    <row r="105" spans="1:17" x14ac:dyDescent="0.35">
      <c r="A105">
        <v>104</v>
      </c>
      <c r="B105">
        <v>5</v>
      </c>
      <c r="C105" t="str">
        <f>VLOOKUP(A105, Dissect!A:Q, 6)</f>
        <v>M</v>
      </c>
      <c r="D105" s="2" t="s">
        <v>131</v>
      </c>
      <c r="E105" s="2">
        <v>44914</v>
      </c>
      <c r="F105">
        <v>48</v>
      </c>
      <c r="G105">
        <v>1.9</v>
      </c>
      <c r="H105">
        <v>0.6</v>
      </c>
      <c r="I105">
        <v>48.5</v>
      </c>
      <c r="J105">
        <f t="shared" si="6"/>
        <v>2328</v>
      </c>
      <c r="K105" s="2">
        <v>44916</v>
      </c>
      <c r="L105" s="2" t="s">
        <v>131</v>
      </c>
      <c r="M105">
        <v>181</v>
      </c>
      <c r="N105">
        <v>2.2000000000000002</v>
      </c>
      <c r="O105" s="16">
        <v>1.9</v>
      </c>
      <c r="P105">
        <v>43.5</v>
      </c>
      <c r="Q105">
        <f t="shared" si="7"/>
        <v>7873.5</v>
      </c>
    </row>
    <row r="106" spans="1:17" x14ac:dyDescent="0.35">
      <c r="A106">
        <v>105</v>
      </c>
      <c r="B106">
        <v>5</v>
      </c>
      <c r="C106" t="str">
        <f>VLOOKUP(A106, Dissect!A:Q, 6)</f>
        <v>Im</v>
      </c>
      <c r="D106" s="2" t="s">
        <v>131</v>
      </c>
      <c r="E106" s="2">
        <v>44914</v>
      </c>
      <c r="F106">
        <v>17</v>
      </c>
      <c r="G106">
        <v>1.8</v>
      </c>
      <c r="H106">
        <v>1.2</v>
      </c>
      <c r="I106">
        <v>48.5</v>
      </c>
      <c r="J106">
        <f t="shared" si="6"/>
        <v>824.5</v>
      </c>
      <c r="K106" s="2">
        <v>44916</v>
      </c>
      <c r="L106" s="2" t="s">
        <v>131</v>
      </c>
      <c r="M106">
        <v>50</v>
      </c>
      <c r="N106">
        <v>2.1</v>
      </c>
      <c r="O106" s="16">
        <v>2.1</v>
      </c>
      <c r="P106">
        <v>43.5</v>
      </c>
      <c r="Q106">
        <f t="shared" si="7"/>
        <v>2175</v>
      </c>
    </row>
    <row r="107" spans="1:17" x14ac:dyDescent="0.35">
      <c r="A107">
        <v>106</v>
      </c>
      <c r="B107">
        <v>5</v>
      </c>
      <c r="C107" t="str">
        <f>VLOOKUP(A107, Dissect!A:Q, 6)</f>
        <v>F</v>
      </c>
      <c r="D107" s="2" t="s">
        <v>131</v>
      </c>
      <c r="E107" s="2">
        <v>44914</v>
      </c>
      <c r="F107">
        <v>41</v>
      </c>
      <c r="G107">
        <v>1.9</v>
      </c>
      <c r="H107">
        <v>2.1</v>
      </c>
      <c r="I107">
        <v>48.5</v>
      </c>
      <c r="J107">
        <f t="shared" si="6"/>
        <v>1988.5</v>
      </c>
      <c r="K107" s="2">
        <v>44916</v>
      </c>
      <c r="L107" s="2" t="s">
        <v>131</v>
      </c>
      <c r="M107">
        <v>250</v>
      </c>
      <c r="N107">
        <v>2.2000000000000002</v>
      </c>
      <c r="O107" s="16">
        <v>2.2000000000000002</v>
      </c>
      <c r="P107">
        <v>43.5</v>
      </c>
      <c r="Q107">
        <f t="shared" si="7"/>
        <v>10875</v>
      </c>
    </row>
    <row r="108" spans="1:17" x14ac:dyDescent="0.35">
      <c r="A108">
        <v>107</v>
      </c>
      <c r="B108">
        <v>5</v>
      </c>
      <c r="C108" t="str">
        <f>VLOOKUP(A108, Dissect!A:Q, 6)</f>
        <v>M</v>
      </c>
      <c r="D108" s="2" t="s">
        <v>131</v>
      </c>
      <c r="E108" s="2">
        <v>44914</v>
      </c>
      <c r="F108">
        <v>89</v>
      </c>
      <c r="G108">
        <v>1.9</v>
      </c>
      <c r="H108">
        <v>0.7</v>
      </c>
      <c r="I108">
        <v>48.5</v>
      </c>
      <c r="J108">
        <f t="shared" si="6"/>
        <v>4316.5</v>
      </c>
      <c r="K108" s="2">
        <v>44916</v>
      </c>
      <c r="L108" s="2" t="s">
        <v>131</v>
      </c>
      <c r="M108">
        <v>290</v>
      </c>
      <c r="N108">
        <v>2.2000000000000002</v>
      </c>
      <c r="O108" s="16">
        <v>2.1</v>
      </c>
      <c r="P108">
        <v>43.5</v>
      </c>
      <c r="Q108">
        <f t="shared" si="7"/>
        <v>12615</v>
      </c>
    </row>
    <row r="109" spans="1:17" x14ac:dyDescent="0.35">
      <c r="A109">
        <v>108</v>
      </c>
      <c r="B109">
        <v>5</v>
      </c>
      <c r="C109" t="str">
        <f>VLOOKUP(A109, Dissect!A:Q, 6)</f>
        <v>M</v>
      </c>
      <c r="D109" s="2" t="s">
        <v>131</v>
      </c>
      <c r="E109" s="2">
        <v>44914</v>
      </c>
      <c r="F109">
        <v>149</v>
      </c>
      <c r="G109">
        <v>1.9</v>
      </c>
      <c r="H109">
        <v>2</v>
      </c>
      <c r="I109">
        <v>48.5</v>
      </c>
      <c r="J109">
        <f t="shared" si="6"/>
        <v>7226.5</v>
      </c>
      <c r="K109" s="2">
        <v>44916</v>
      </c>
      <c r="L109" s="2" t="s">
        <v>131</v>
      </c>
      <c r="M109">
        <v>280</v>
      </c>
      <c r="N109">
        <v>2.2000000000000002</v>
      </c>
      <c r="O109" s="16">
        <v>1.9</v>
      </c>
      <c r="P109">
        <v>43.5</v>
      </c>
      <c r="Q109">
        <f t="shared" si="7"/>
        <v>12180</v>
      </c>
    </row>
    <row r="110" spans="1:17" x14ac:dyDescent="0.35">
      <c r="A110">
        <v>109</v>
      </c>
      <c r="B110">
        <v>5</v>
      </c>
      <c r="C110" t="str">
        <f>VLOOKUP(A110, Dissect!A:Q, 6)</f>
        <v>F</v>
      </c>
      <c r="D110" s="2" t="s">
        <v>131</v>
      </c>
      <c r="E110" s="2">
        <v>44914</v>
      </c>
      <c r="F110">
        <v>53</v>
      </c>
      <c r="G110">
        <v>1.9</v>
      </c>
      <c r="H110">
        <v>1.7</v>
      </c>
      <c r="I110">
        <v>48.5</v>
      </c>
      <c r="J110">
        <f t="shared" si="6"/>
        <v>2570.5</v>
      </c>
      <c r="K110" s="2">
        <v>44916</v>
      </c>
      <c r="L110" s="2" t="s">
        <v>131</v>
      </c>
      <c r="M110">
        <v>533</v>
      </c>
      <c r="N110">
        <v>2.2000000000000002</v>
      </c>
      <c r="O110" s="16">
        <v>2</v>
      </c>
      <c r="P110">
        <v>43.5</v>
      </c>
      <c r="Q110">
        <f t="shared" si="7"/>
        <v>23185.5</v>
      </c>
    </row>
    <row r="111" spans="1:17" x14ac:dyDescent="0.35">
      <c r="A111">
        <v>110</v>
      </c>
      <c r="B111">
        <v>5</v>
      </c>
      <c r="C111" t="str">
        <f>VLOOKUP(A111, Dissect!A:Q, 6)</f>
        <v>M</v>
      </c>
      <c r="D111" s="2" t="s">
        <v>131</v>
      </c>
      <c r="E111" s="2">
        <v>44914</v>
      </c>
      <c r="F111">
        <v>95</v>
      </c>
      <c r="G111">
        <v>1.9</v>
      </c>
      <c r="H111">
        <v>1.9</v>
      </c>
      <c r="I111">
        <v>48.5</v>
      </c>
      <c r="J111">
        <f t="shared" si="6"/>
        <v>4607.5</v>
      </c>
      <c r="K111" s="2">
        <v>44916</v>
      </c>
      <c r="L111" s="2" t="s">
        <v>131</v>
      </c>
      <c r="M111">
        <v>182</v>
      </c>
      <c r="N111">
        <v>2.2000000000000002</v>
      </c>
      <c r="O111" s="16">
        <v>1.9</v>
      </c>
      <c r="P111">
        <v>43.5</v>
      </c>
      <c r="Q111">
        <f t="shared" si="7"/>
        <v>7917</v>
      </c>
    </row>
    <row r="112" spans="1:17" x14ac:dyDescent="0.35">
      <c r="A112">
        <v>111</v>
      </c>
      <c r="B112">
        <v>4</v>
      </c>
      <c r="C112" t="str">
        <f>VLOOKUP(A112, Dissect!A:Q, 6)</f>
        <v>F</v>
      </c>
      <c r="D112" s="2" t="s">
        <v>131</v>
      </c>
      <c r="E112" s="2">
        <v>44914</v>
      </c>
      <c r="F112">
        <v>64</v>
      </c>
      <c r="G112">
        <v>1.9</v>
      </c>
      <c r="H112">
        <v>1.9</v>
      </c>
      <c r="I112">
        <v>48.5</v>
      </c>
      <c r="J112">
        <f t="shared" si="6"/>
        <v>3104</v>
      </c>
      <c r="K112" s="2">
        <v>44916</v>
      </c>
      <c r="L112" s="2" t="s">
        <v>131</v>
      </c>
      <c r="M112">
        <v>254</v>
      </c>
      <c r="N112">
        <v>2.2000000000000002</v>
      </c>
      <c r="O112" s="16">
        <v>2.1</v>
      </c>
      <c r="P112">
        <v>43.5</v>
      </c>
      <c r="Q112">
        <f t="shared" si="7"/>
        <v>11049</v>
      </c>
    </row>
    <row r="113" spans="1:17" x14ac:dyDescent="0.35">
      <c r="A113">
        <v>112</v>
      </c>
      <c r="B113">
        <v>4</v>
      </c>
      <c r="C113" t="str">
        <f>VLOOKUP(A113, Dissect!A:Q, 6)</f>
        <v>M</v>
      </c>
      <c r="D113" s="2" t="s">
        <v>131</v>
      </c>
      <c r="E113" s="2">
        <v>44914</v>
      </c>
      <c r="F113">
        <v>46</v>
      </c>
      <c r="G113">
        <v>1.8</v>
      </c>
      <c r="H113">
        <v>2</v>
      </c>
      <c r="I113">
        <v>48.5</v>
      </c>
      <c r="J113">
        <f t="shared" si="6"/>
        <v>2231</v>
      </c>
      <c r="K113" s="2">
        <v>44916</v>
      </c>
      <c r="L113" s="2" t="s">
        <v>131</v>
      </c>
      <c r="M113">
        <v>171</v>
      </c>
      <c r="N113">
        <v>2.2000000000000002</v>
      </c>
      <c r="O113" s="16">
        <v>1.9</v>
      </c>
      <c r="P113">
        <v>43.5</v>
      </c>
      <c r="Q113">
        <f t="shared" si="7"/>
        <v>7438.5</v>
      </c>
    </row>
    <row r="114" spans="1:17" x14ac:dyDescent="0.35">
      <c r="A114">
        <v>113</v>
      </c>
      <c r="B114">
        <v>4</v>
      </c>
      <c r="C114" t="str">
        <f>VLOOKUP(A114, Dissect!A:Q, 6)</f>
        <v>F</v>
      </c>
      <c r="D114" s="2" t="s">
        <v>131</v>
      </c>
      <c r="E114" s="2">
        <v>44914</v>
      </c>
      <c r="F114">
        <v>43</v>
      </c>
      <c r="G114">
        <v>1.9</v>
      </c>
      <c r="H114">
        <v>2</v>
      </c>
      <c r="I114">
        <v>48.5</v>
      </c>
      <c r="J114">
        <f t="shared" si="6"/>
        <v>2085.5</v>
      </c>
      <c r="K114" s="2">
        <v>44916</v>
      </c>
      <c r="L114" s="2" t="s">
        <v>131</v>
      </c>
      <c r="M114">
        <v>570</v>
      </c>
      <c r="N114">
        <v>2.2000000000000002</v>
      </c>
      <c r="O114" s="16">
        <v>2.1</v>
      </c>
      <c r="P114">
        <v>43.5</v>
      </c>
      <c r="Q114">
        <f t="shared" si="7"/>
        <v>24795</v>
      </c>
    </row>
    <row r="115" spans="1:17" x14ac:dyDescent="0.35">
      <c r="A115">
        <v>114</v>
      </c>
      <c r="B115">
        <v>4</v>
      </c>
      <c r="C115" t="str">
        <f>VLOOKUP(A115, Dissect!A:Q, 6)</f>
        <v>M</v>
      </c>
      <c r="D115" s="2" t="s">
        <v>131</v>
      </c>
      <c r="E115" s="2">
        <v>44914</v>
      </c>
      <c r="F115">
        <v>60</v>
      </c>
      <c r="G115">
        <v>1.8</v>
      </c>
      <c r="H115">
        <v>1.2</v>
      </c>
      <c r="I115">
        <v>48.5</v>
      </c>
      <c r="J115">
        <f t="shared" si="6"/>
        <v>2910</v>
      </c>
      <c r="K115" s="2">
        <v>44916</v>
      </c>
      <c r="L115" s="2" t="s">
        <v>131</v>
      </c>
      <c r="M115">
        <v>117</v>
      </c>
      <c r="N115">
        <v>2.2000000000000002</v>
      </c>
      <c r="O115" s="16">
        <v>2</v>
      </c>
      <c r="P115">
        <v>43.5</v>
      </c>
      <c r="Q115">
        <f t="shared" si="7"/>
        <v>5089.5</v>
      </c>
    </row>
    <row r="116" spans="1:17" x14ac:dyDescent="0.35">
      <c r="A116">
        <v>115</v>
      </c>
      <c r="B116">
        <v>4</v>
      </c>
      <c r="C116" t="str">
        <f>VLOOKUP(A116, Dissect!A:Q, 6)</f>
        <v>M</v>
      </c>
      <c r="D116" s="2" t="s">
        <v>131</v>
      </c>
      <c r="E116" s="2">
        <v>44914</v>
      </c>
      <c r="F116">
        <v>160</v>
      </c>
      <c r="G116">
        <v>1.9</v>
      </c>
      <c r="H116">
        <v>0.8</v>
      </c>
      <c r="I116">
        <v>48.5</v>
      </c>
      <c r="J116">
        <f t="shared" si="6"/>
        <v>7760</v>
      </c>
      <c r="K116" s="2">
        <v>44916</v>
      </c>
      <c r="L116" s="2" t="s">
        <v>131</v>
      </c>
      <c r="M116">
        <v>179</v>
      </c>
      <c r="N116">
        <v>2.2000000000000002</v>
      </c>
      <c r="O116" s="16">
        <v>2</v>
      </c>
      <c r="P116">
        <v>43.5</v>
      </c>
      <c r="Q116">
        <f t="shared" si="7"/>
        <v>7786.5</v>
      </c>
    </row>
    <row r="117" spans="1:17" x14ac:dyDescent="0.35">
      <c r="A117">
        <v>116</v>
      </c>
      <c r="B117">
        <v>4</v>
      </c>
      <c r="C117" t="str">
        <f>VLOOKUP(A117, Dissect!A:Q, 6)</f>
        <v>M</v>
      </c>
      <c r="D117" s="2" t="s">
        <v>131</v>
      </c>
      <c r="E117" s="2">
        <v>44914</v>
      </c>
      <c r="F117">
        <v>52</v>
      </c>
      <c r="G117">
        <v>1.9</v>
      </c>
      <c r="H117">
        <v>0.1</v>
      </c>
      <c r="I117">
        <v>48.5</v>
      </c>
      <c r="J117">
        <f t="shared" si="6"/>
        <v>2522</v>
      </c>
      <c r="K117" s="2">
        <v>44916</v>
      </c>
      <c r="L117" s="2" t="s">
        <v>131</v>
      </c>
      <c r="M117">
        <v>133</v>
      </c>
      <c r="N117">
        <v>2.1</v>
      </c>
      <c r="O117" s="16">
        <v>0.6</v>
      </c>
      <c r="P117">
        <v>43.5</v>
      </c>
      <c r="Q117">
        <f t="shared" si="7"/>
        <v>5785.5</v>
      </c>
    </row>
    <row r="118" spans="1:17" x14ac:dyDescent="0.35">
      <c r="A118">
        <v>117</v>
      </c>
      <c r="B118">
        <v>4</v>
      </c>
      <c r="C118" t="str">
        <f>VLOOKUP(A118, Dissect!A:Q, 6)</f>
        <v>F</v>
      </c>
      <c r="D118" s="2" t="s">
        <v>131</v>
      </c>
      <c r="E118" s="2">
        <v>44914</v>
      </c>
      <c r="F118">
        <v>59</v>
      </c>
      <c r="G118">
        <v>1.9</v>
      </c>
      <c r="H118">
        <v>0.5</v>
      </c>
      <c r="I118">
        <v>48.5</v>
      </c>
      <c r="J118">
        <f t="shared" si="6"/>
        <v>2861.5</v>
      </c>
      <c r="K118" s="2">
        <v>44916</v>
      </c>
      <c r="L118" s="2" t="s">
        <v>131</v>
      </c>
      <c r="M118">
        <v>301</v>
      </c>
      <c r="N118">
        <v>2.2000000000000002</v>
      </c>
      <c r="O118" s="16">
        <v>2.2000000000000002</v>
      </c>
      <c r="P118">
        <v>43.5</v>
      </c>
      <c r="Q118">
        <f t="shared" si="7"/>
        <v>13093.5</v>
      </c>
    </row>
    <row r="119" spans="1:17" x14ac:dyDescent="0.35">
      <c r="A119">
        <v>118</v>
      </c>
      <c r="B119">
        <v>4</v>
      </c>
      <c r="C119" t="str">
        <f>VLOOKUP(A119, Dissect!A:Q, 6)</f>
        <v>M</v>
      </c>
      <c r="D119" s="2" t="s">
        <v>131</v>
      </c>
      <c r="E119" s="2">
        <v>44914</v>
      </c>
      <c r="F119">
        <v>29</v>
      </c>
      <c r="G119">
        <v>1.8</v>
      </c>
      <c r="H119">
        <v>1.2</v>
      </c>
      <c r="I119">
        <v>48.5</v>
      </c>
      <c r="J119">
        <f t="shared" si="6"/>
        <v>1406.5</v>
      </c>
      <c r="K119" s="2">
        <v>44916</v>
      </c>
      <c r="L119" s="2" t="s">
        <v>131</v>
      </c>
      <c r="M119">
        <v>76</v>
      </c>
      <c r="N119">
        <v>2.2000000000000002</v>
      </c>
      <c r="O119" s="16">
        <v>1.8</v>
      </c>
      <c r="P119">
        <v>43.5</v>
      </c>
      <c r="Q119">
        <f t="shared" si="7"/>
        <v>3306</v>
      </c>
    </row>
    <row r="120" spans="1:17" x14ac:dyDescent="0.35">
      <c r="A120">
        <v>119</v>
      </c>
      <c r="B120">
        <v>4</v>
      </c>
      <c r="C120" t="str">
        <f>VLOOKUP(A120, Dissect!A:Q, 6)</f>
        <v>M</v>
      </c>
      <c r="D120" s="2" t="s">
        <v>131</v>
      </c>
      <c r="E120" s="2">
        <v>44914</v>
      </c>
      <c r="F120">
        <v>162</v>
      </c>
      <c r="G120">
        <v>1.9</v>
      </c>
      <c r="H120">
        <v>0.3</v>
      </c>
      <c r="I120">
        <v>48.5</v>
      </c>
      <c r="J120">
        <f t="shared" si="6"/>
        <v>7857</v>
      </c>
      <c r="K120" s="2">
        <v>44916</v>
      </c>
      <c r="L120" s="2" t="s">
        <v>131</v>
      </c>
      <c r="M120">
        <v>319</v>
      </c>
      <c r="N120">
        <v>2.2000000000000002</v>
      </c>
      <c r="O120" s="16">
        <v>2.1</v>
      </c>
      <c r="P120">
        <v>43.5</v>
      </c>
      <c r="Q120">
        <f t="shared" si="7"/>
        <v>13876.5</v>
      </c>
    </row>
    <row r="121" spans="1:17" x14ac:dyDescent="0.35">
      <c r="A121">
        <v>120</v>
      </c>
      <c r="B121">
        <v>4</v>
      </c>
      <c r="C121" t="str">
        <f>VLOOKUP(A121, Dissect!A:Q, 6)</f>
        <v>F</v>
      </c>
      <c r="D121" s="2" t="s">
        <v>131</v>
      </c>
      <c r="E121" s="2">
        <v>44914</v>
      </c>
      <c r="F121">
        <v>67</v>
      </c>
      <c r="G121">
        <v>2</v>
      </c>
      <c r="H121">
        <v>2</v>
      </c>
      <c r="I121">
        <v>48.5</v>
      </c>
      <c r="J121">
        <f t="shared" si="6"/>
        <v>3249.5</v>
      </c>
      <c r="K121" s="2">
        <v>44916</v>
      </c>
      <c r="L121" s="2" t="s">
        <v>131</v>
      </c>
      <c r="M121">
        <v>1023</v>
      </c>
      <c r="N121">
        <v>2.2000000000000002</v>
      </c>
      <c r="O121" s="16">
        <v>2.2999999999999998</v>
      </c>
      <c r="P121">
        <v>43.5</v>
      </c>
      <c r="Q121">
        <f t="shared" si="7"/>
        <v>44500.5</v>
      </c>
    </row>
    <row r="122" spans="1:17" x14ac:dyDescent="0.35">
      <c r="A122">
        <v>121</v>
      </c>
      <c r="B122">
        <v>4</v>
      </c>
      <c r="C122" t="str">
        <f>VLOOKUP(A122, Dissect!A:Q, 6)</f>
        <v>M</v>
      </c>
      <c r="D122" s="2" t="s">
        <v>131</v>
      </c>
      <c r="E122" s="2">
        <v>44914</v>
      </c>
      <c r="F122">
        <v>54</v>
      </c>
      <c r="G122">
        <v>1.9</v>
      </c>
      <c r="H122">
        <v>0.5</v>
      </c>
      <c r="I122">
        <v>48.5</v>
      </c>
      <c r="J122">
        <f t="shared" si="6"/>
        <v>2619</v>
      </c>
      <c r="K122" s="2">
        <v>44916</v>
      </c>
      <c r="L122" s="2" t="s">
        <v>131</v>
      </c>
      <c r="M122">
        <v>170</v>
      </c>
      <c r="N122">
        <v>2.2000000000000002</v>
      </c>
      <c r="O122" s="16">
        <v>1.9</v>
      </c>
      <c r="P122">
        <v>43.5</v>
      </c>
      <c r="Q122">
        <f t="shared" si="7"/>
        <v>7395</v>
      </c>
    </row>
    <row r="123" spans="1:17" x14ac:dyDescent="0.35">
      <c r="A123">
        <v>122</v>
      </c>
      <c r="B123">
        <v>4</v>
      </c>
      <c r="C123" t="str">
        <f>VLOOKUP(A123, Dissect!A:Q, 6)</f>
        <v>F</v>
      </c>
      <c r="D123" s="2" t="s">
        <v>131</v>
      </c>
      <c r="E123" s="2">
        <v>44914</v>
      </c>
      <c r="F123">
        <v>54</v>
      </c>
      <c r="G123">
        <v>1.9</v>
      </c>
      <c r="H123">
        <v>1.7</v>
      </c>
      <c r="I123">
        <v>48.5</v>
      </c>
      <c r="J123">
        <f t="shared" si="6"/>
        <v>2619</v>
      </c>
      <c r="K123" s="2">
        <v>44916</v>
      </c>
      <c r="L123" s="2" t="s">
        <v>131</v>
      </c>
      <c r="M123">
        <v>901</v>
      </c>
      <c r="N123">
        <v>2.2000000000000002</v>
      </c>
      <c r="O123" s="16">
        <v>2.2999999999999998</v>
      </c>
      <c r="P123">
        <v>43.5</v>
      </c>
      <c r="Q123">
        <f t="shared" si="7"/>
        <v>39193.5</v>
      </c>
    </row>
    <row r="124" spans="1:17" x14ac:dyDescent="0.35">
      <c r="A124">
        <v>123</v>
      </c>
      <c r="B124">
        <v>3</v>
      </c>
      <c r="C124" t="str">
        <f>VLOOKUP(A124, Dissect!A:Q, 6)</f>
        <v>F</v>
      </c>
      <c r="D124" s="2" t="s">
        <v>131</v>
      </c>
      <c r="E124" s="2">
        <v>44914</v>
      </c>
      <c r="F124">
        <v>51</v>
      </c>
      <c r="G124">
        <v>1.9</v>
      </c>
      <c r="H124">
        <v>2</v>
      </c>
      <c r="I124">
        <v>48.5</v>
      </c>
      <c r="J124">
        <f t="shared" si="6"/>
        <v>2473.5</v>
      </c>
      <c r="K124" s="2">
        <v>44916</v>
      </c>
      <c r="L124" s="2" t="s">
        <v>131</v>
      </c>
      <c r="M124">
        <v>107</v>
      </c>
      <c r="N124">
        <v>2.2000000000000002</v>
      </c>
      <c r="O124" s="16">
        <v>2.2000000000000002</v>
      </c>
      <c r="P124">
        <v>43.5</v>
      </c>
      <c r="Q124">
        <f t="shared" si="7"/>
        <v>4654.5</v>
      </c>
    </row>
    <row r="125" spans="1:17" x14ac:dyDescent="0.35">
      <c r="A125">
        <v>124</v>
      </c>
      <c r="B125">
        <v>3</v>
      </c>
      <c r="C125" t="str">
        <f>VLOOKUP(A125, Dissect!A:Q, 6)</f>
        <v>Im</v>
      </c>
      <c r="D125" s="2" t="s">
        <v>131</v>
      </c>
      <c r="E125" s="2">
        <v>44914</v>
      </c>
      <c r="F125">
        <v>8</v>
      </c>
      <c r="G125">
        <v>1.8</v>
      </c>
      <c r="H125">
        <v>0.7</v>
      </c>
      <c r="I125">
        <v>48.5</v>
      </c>
      <c r="J125">
        <f t="shared" si="6"/>
        <v>388</v>
      </c>
      <c r="K125" s="2">
        <v>44916</v>
      </c>
      <c r="L125" s="2" t="s">
        <v>131</v>
      </c>
      <c r="M125">
        <v>29</v>
      </c>
      <c r="N125">
        <v>2.2000000000000002</v>
      </c>
      <c r="O125" s="16">
        <v>1.5</v>
      </c>
      <c r="P125">
        <v>43.5</v>
      </c>
      <c r="Q125">
        <f t="shared" si="7"/>
        <v>1261.5</v>
      </c>
    </row>
    <row r="126" spans="1:17" x14ac:dyDescent="0.35">
      <c r="A126">
        <v>125</v>
      </c>
      <c r="B126">
        <v>3</v>
      </c>
      <c r="C126" t="str">
        <f>VLOOKUP(A126, Dissect!A:Q, 6)</f>
        <v>M</v>
      </c>
      <c r="D126" s="2" t="s">
        <v>131</v>
      </c>
      <c r="E126" s="2">
        <v>44914</v>
      </c>
      <c r="F126">
        <v>60</v>
      </c>
      <c r="G126">
        <v>1.9</v>
      </c>
      <c r="H126">
        <v>0.1</v>
      </c>
      <c r="I126">
        <v>48.5</v>
      </c>
      <c r="J126">
        <f t="shared" si="6"/>
        <v>2910</v>
      </c>
      <c r="K126" s="2">
        <v>44916</v>
      </c>
      <c r="L126" s="2" t="s">
        <v>131</v>
      </c>
      <c r="M126">
        <v>204</v>
      </c>
      <c r="N126">
        <v>2.2000000000000002</v>
      </c>
      <c r="O126" s="16">
        <v>2.2000000000000002</v>
      </c>
      <c r="P126">
        <v>43.5</v>
      </c>
      <c r="Q126">
        <f t="shared" si="7"/>
        <v>8874</v>
      </c>
    </row>
    <row r="127" spans="1:17" x14ac:dyDescent="0.35">
      <c r="A127">
        <v>126</v>
      </c>
      <c r="B127">
        <v>3</v>
      </c>
      <c r="C127" t="str">
        <f>VLOOKUP(A127, Dissect!A:Q, 6)</f>
        <v>M</v>
      </c>
      <c r="D127" s="2" t="s">
        <v>131</v>
      </c>
      <c r="E127" s="2">
        <v>44914</v>
      </c>
      <c r="F127">
        <v>14</v>
      </c>
      <c r="G127">
        <v>1.8</v>
      </c>
      <c r="H127">
        <v>0.2</v>
      </c>
      <c r="I127">
        <v>48.5</v>
      </c>
      <c r="J127">
        <f t="shared" si="6"/>
        <v>679</v>
      </c>
      <c r="K127" s="2">
        <v>44916</v>
      </c>
      <c r="L127" s="2" t="s">
        <v>131</v>
      </c>
      <c r="M127">
        <v>45</v>
      </c>
      <c r="N127">
        <v>2</v>
      </c>
      <c r="O127" s="16">
        <v>1.2</v>
      </c>
      <c r="P127">
        <v>43.5</v>
      </c>
      <c r="Q127">
        <f t="shared" si="7"/>
        <v>1957.5</v>
      </c>
    </row>
    <row r="128" spans="1:17" x14ac:dyDescent="0.35">
      <c r="A128">
        <v>127</v>
      </c>
      <c r="B128">
        <v>3</v>
      </c>
      <c r="C128" t="str">
        <f>VLOOKUP(A128, Dissect!A:Q, 6)</f>
        <v>Im</v>
      </c>
      <c r="D128" s="2" t="s">
        <v>131</v>
      </c>
      <c r="E128" s="2">
        <v>44914</v>
      </c>
      <c r="F128">
        <v>48</v>
      </c>
      <c r="G128">
        <v>1.9</v>
      </c>
      <c r="H128">
        <v>2.1</v>
      </c>
      <c r="I128">
        <v>48.5</v>
      </c>
      <c r="J128">
        <f t="shared" si="6"/>
        <v>2328</v>
      </c>
      <c r="K128" s="2">
        <v>44916</v>
      </c>
      <c r="L128" s="2" t="s">
        <v>131</v>
      </c>
      <c r="M128">
        <v>89</v>
      </c>
      <c r="N128">
        <v>2.2000000000000002</v>
      </c>
      <c r="O128" s="16">
        <v>1.7</v>
      </c>
      <c r="P128">
        <v>43.5</v>
      </c>
      <c r="Q128">
        <f t="shared" si="7"/>
        <v>3871.5</v>
      </c>
    </row>
    <row r="129" spans="1:17" x14ac:dyDescent="0.35">
      <c r="A129">
        <v>128</v>
      </c>
      <c r="B129">
        <v>3</v>
      </c>
      <c r="C129" t="str">
        <f>VLOOKUP(A129, Dissect!A:Q, 6)</f>
        <v>F</v>
      </c>
      <c r="D129" s="2" t="s">
        <v>131</v>
      </c>
      <c r="E129" s="2">
        <v>44914</v>
      </c>
      <c r="F129">
        <v>23</v>
      </c>
      <c r="G129">
        <v>1.9</v>
      </c>
      <c r="H129">
        <v>1.7</v>
      </c>
      <c r="I129">
        <v>48.5</v>
      </c>
      <c r="J129">
        <f t="shared" si="6"/>
        <v>1115.5</v>
      </c>
      <c r="K129" s="2">
        <v>44916</v>
      </c>
      <c r="L129" s="2" t="s">
        <v>131</v>
      </c>
      <c r="M129">
        <v>81</v>
      </c>
      <c r="N129">
        <v>2.1</v>
      </c>
      <c r="O129" s="16">
        <v>1.9</v>
      </c>
      <c r="P129">
        <v>43.5</v>
      </c>
      <c r="Q129">
        <f t="shared" si="7"/>
        <v>3523.5</v>
      </c>
    </row>
    <row r="130" spans="1:17" x14ac:dyDescent="0.35">
      <c r="A130">
        <v>129</v>
      </c>
      <c r="B130">
        <v>3</v>
      </c>
      <c r="C130" t="str">
        <f>VLOOKUP(A130, Dissect!A:Q, 6)</f>
        <v>M</v>
      </c>
      <c r="D130" s="2" t="s">
        <v>131</v>
      </c>
      <c r="E130" s="2">
        <v>44914</v>
      </c>
      <c r="F130">
        <v>34</v>
      </c>
      <c r="G130">
        <v>1.9</v>
      </c>
      <c r="H130">
        <v>2</v>
      </c>
      <c r="I130">
        <v>48.5</v>
      </c>
      <c r="J130">
        <f t="shared" ref="J130:J145" si="8">I130*F130</f>
        <v>1649</v>
      </c>
      <c r="K130" s="2">
        <v>44916</v>
      </c>
      <c r="L130" s="2" t="s">
        <v>131</v>
      </c>
      <c r="M130">
        <v>129</v>
      </c>
      <c r="N130">
        <v>2.1</v>
      </c>
      <c r="O130" s="16">
        <v>1.7</v>
      </c>
      <c r="P130">
        <v>43.5</v>
      </c>
      <c r="Q130">
        <f t="shared" ref="Q130:Q145" si="9">M130*P130</f>
        <v>5611.5</v>
      </c>
    </row>
    <row r="131" spans="1:17" x14ac:dyDescent="0.35">
      <c r="A131">
        <v>130</v>
      </c>
      <c r="B131">
        <v>3</v>
      </c>
      <c r="C131" t="str">
        <f>VLOOKUP(A131, Dissect!A:Q, 6)</f>
        <v>M</v>
      </c>
      <c r="D131" s="2" t="s">
        <v>131</v>
      </c>
      <c r="E131" s="2">
        <v>44914</v>
      </c>
      <c r="F131">
        <v>87</v>
      </c>
      <c r="G131">
        <v>1.9</v>
      </c>
      <c r="H131">
        <v>2.2000000000000002</v>
      </c>
      <c r="I131">
        <v>48.5</v>
      </c>
      <c r="J131">
        <f t="shared" si="8"/>
        <v>4219.5</v>
      </c>
      <c r="K131" s="2">
        <v>44916</v>
      </c>
      <c r="L131" s="2" t="s">
        <v>131</v>
      </c>
      <c r="M131">
        <v>195</v>
      </c>
      <c r="N131">
        <v>2.2000000000000002</v>
      </c>
      <c r="O131" s="16">
        <v>2.2000000000000002</v>
      </c>
      <c r="P131">
        <v>43.5</v>
      </c>
      <c r="Q131">
        <f t="shared" si="9"/>
        <v>8482.5</v>
      </c>
    </row>
    <row r="132" spans="1:17" x14ac:dyDescent="0.35">
      <c r="A132">
        <v>131</v>
      </c>
      <c r="B132">
        <v>3</v>
      </c>
      <c r="C132" t="str">
        <f>VLOOKUP(A132, Dissect!A:Q, 6)</f>
        <v>M</v>
      </c>
      <c r="D132" s="2" t="s">
        <v>131</v>
      </c>
      <c r="E132" s="2">
        <v>44914</v>
      </c>
      <c r="F132">
        <v>22</v>
      </c>
      <c r="G132">
        <v>1.9</v>
      </c>
      <c r="H132">
        <v>1.8</v>
      </c>
      <c r="I132">
        <v>48.5</v>
      </c>
      <c r="J132">
        <f t="shared" si="8"/>
        <v>1067</v>
      </c>
      <c r="K132" s="2">
        <v>44916</v>
      </c>
      <c r="L132" s="2" t="s">
        <v>131</v>
      </c>
      <c r="M132">
        <v>84</v>
      </c>
      <c r="N132">
        <v>2.1</v>
      </c>
      <c r="O132" s="16">
        <v>1.4</v>
      </c>
      <c r="P132">
        <v>43.5</v>
      </c>
      <c r="Q132">
        <f t="shared" si="9"/>
        <v>3654</v>
      </c>
    </row>
    <row r="133" spans="1:17" x14ac:dyDescent="0.35">
      <c r="A133">
        <v>132</v>
      </c>
      <c r="B133">
        <v>3</v>
      </c>
      <c r="C133" t="str">
        <f>VLOOKUP(A133, Dissect!A:Q, 6)</f>
        <v>F</v>
      </c>
      <c r="D133" s="2" t="s">
        <v>131</v>
      </c>
      <c r="E133" s="2">
        <v>44914</v>
      </c>
      <c r="F133">
        <v>45</v>
      </c>
      <c r="G133">
        <v>1.9</v>
      </c>
      <c r="H133">
        <v>0.9</v>
      </c>
      <c r="I133">
        <v>48.5</v>
      </c>
      <c r="J133">
        <f t="shared" si="8"/>
        <v>2182.5</v>
      </c>
      <c r="K133" s="2">
        <v>44916</v>
      </c>
      <c r="L133" s="2" t="s">
        <v>131</v>
      </c>
      <c r="M133">
        <v>237</v>
      </c>
      <c r="N133">
        <v>2.2000000000000002</v>
      </c>
      <c r="O133" s="16">
        <v>1.8</v>
      </c>
      <c r="P133">
        <v>43.5</v>
      </c>
      <c r="Q133">
        <f t="shared" si="9"/>
        <v>10309.5</v>
      </c>
    </row>
    <row r="134" spans="1:17" x14ac:dyDescent="0.35">
      <c r="A134">
        <v>133</v>
      </c>
      <c r="B134">
        <v>2</v>
      </c>
      <c r="C134" t="str">
        <f>VLOOKUP(A134, Dissect!A:Q, 6)</f>
        <v>M</v>
      </c>
      <c r="D134" s="2" t="s">
        <v>131</v>
      </c>
      <c r="E134" s="2">
        <v>44914</v>
      </c>
      <c r="F134">
        <v>49</v>
      </c>
      <c r="G134">
        <v>1.9</v>
      </c>
      <c r="H134">
        <v>2.2000000000000002</v>
      </c>
      <c r="I134">
        <v>48.5</v>
      </c>
      <c r="J134">
        <f t="shared" si="8"/>
        <v>2376.5</v>
      </c>
      <c r="K134" s="2">
        <v>44916</v>
      </c>
      <c r="L134" s="2" t="s">
        <v>131</v>
      </c>
      <c r="M134">
        <v>166</v>
      </c>
      <c r="N134">
        <v>2.2000000000000002</v>
      </c>
      <c r="O134" s="16">
        <v>2</v>
      </c>
      <c r="P134">
        <v>43.5</v>
      </c>
      <c r="Q134">
        <f t="shared" si="9"/>
        <v>7221</v>
      </c>
    </row>
    <row r="135" spans="1:17" x14ac:dyDescent="0.35">
      <c r="A135">
        <v>134</v>
      </c>
      <c r="B135">
        <v>2</v>
      </c>
      <c r="C135" t="str">
        <f>VLOOKUP(A135, Dissect!A:Q, 6)</f>
        <v>F</v>
      </c>
      <c r="D135" s="2" t="s">
        <v>131</v>
      </c>
      <c r="E135" s="2">
        <v>44914</v>
      </c>
      <c r="F135">
        <v>80</v>
      </c>
      <c r="G135">
        <v>1.9</v>
      </c>
      <c r="H135">
        <v>0.7</v>
      </c>
      <c r="I135">
        <v>48.5</v>
      </c>
      <c r="J135">
        <f t="shared" si="8"/>
        <v>3880</v>
      </c>
      <c r="K135" s="2">
        <v>44916</v>
      </c>
      <c r="L135" s="2" t="s">
        <v>131</v>
      </c>
      <c r="M135">
        <v>473</v>
      </c>
      <c r="N135">
        <v>2.2000000000000002</v>
      </c>
      <c r="O135" s="16">
        <v>1.7</v>
      </c>
      <c r="P135">
        <v>43.5</v>
      </c>
      <c r="Q135">
        <f t="shared" si="9"/>
        <v>20575.5</v>
      </c>
    </row>
    <row r="136" spans="1:17" x14ac:dyDescent="0.35">
      <c r="A136">
        <v>135</v>
      </c>
      <c r="B136">
        <v>2</v>
      </c>
      <c r="C136" t="s">
        <v>31</v>
      </c>
      <c r="D136" s="2" t="s">
        <v>131</v>
      </c>
      <c r="E136" s="2">
        <v>44914</v>
      </c>
      <c r="F136">
        <v>22</v>
      </c>
      <c r="G136">
        <v>1.9</v>
      </c>
      <c r="H136">
        <v>0.3</v>
      </c>
      <c r="I136">
        <v>48.5</v>
      </c>
      <c r="J136">
        <f t="shared" si="8"/>
        <v>1067</v>
      </c>
      <c r="K136" s="2">
        <v>44916</v>
      </c>
      <c r="L136" s="2" t="s">
        <v>131</v>
      </c>
      <c r="M136">
        <v>86</v>
      </c>
      <c r="N136">
        <v>2.2000000000000002</v>
      </c>
      <c r="O136" s="16">
        <v>1.8</v>
      </c>
      <c r="P136">
        <v>43.5</v>
      </c>
      <c r="Q136">
        <f t="shared" si="9"/>
        <v>3741</v>
      </c>
    </row>
    <row r="137" spans="1:17" x14ac:dyDescent="0.35">
      <c r="A137">
        <v>136</v>
      </c>
      <c r="B137">
        <v>2</v>
      </c>
      <c r="C137" t="s">
        <v>132</v>
      </c>
      <c r="D137" s="2" t="s">
        <v>131</v>
      </c>
      <c r="E137" s="2">
        <v>44914</v>
      </c>
      <c r="F137">
        <v>19</v>
      </c>
      <c r="G137">
        <v>1.9</v>
      </c>
      <c r="H137">
        <v>2</v>
      </c>
      <c r="I137">
        <v>48.5</v>
      </c>
      <c r="J137">
        <f t="shared" si="8"/>
        <v>921.5</v>
      </c>
      <c r="K137" s="2">
        <v>44916</v>
      </c>
      <c r="L137" s="2" t="s">
        <v>131</v>
      </c>
      <c r="M137">
        <v>91</v>
      </c>
      <c r="N137">
        <v>2.1</v>
      </c>
      <c r="O137" s="16">
        <v>1.9</v>
      </c>
      <c r="P137">
        <v>43.5</v>
      </c>
      <c r="Q137">
        <f t="shared" si="9"/>
        <v>3958.5</v>
      </c>
    </row>
    <row r="138" spans="1:17" x14ac:dyDescent="0.35">
      <c r="A138">
        <v>137</v>
      </c>
      <c r="B138">
        <v>3</v>
      </c>
      <c r="C138" t="str">
        <f>VLOOKUP(A138, Dissect!A:Q, 6)</f>
        <v>F</v>
      </c>
      <c r="D138" s="2" t="s">
        <v>131</v>
      </c>
      <c r="E138" s="2">
        <v>44914</v>
      </c>
      <c r="F138">
        <v>27</v>
      </c>
      <c r="G138">
        <v>1.9</v>
      </c>
      <c r="H138">
        <v>1.2</v>
      </c>
      <c r="I138">
        <v>48.5</v>
      </c>
      <c r="J138">
        <f t="shared" si="8"/>
        <v>1309.5</v>
      </c>
      <c r="K138" s="2">
        <v>44916</v>
      </c>
      <c r="L138" s="2" t="s">
        <v>131</v>
      </c>
      <c r="M138">
        <v>83</v>
      </c>
      <c r="N138">
        <v>2.1</v>
      </c>
      <c r="O138" s="16">
        <v>1.3</v>
      </c>
      <c r="P138">
        <v>43.5</v>
      </c>
      <c r="Q138">
        <f t="shared" si="9"/>
        <v>3610.5</v>
      </c>
    </row>
    <row r="139" spans="1:17" x14ac:dyDescent="0.35">
      <c r="A139">
        <v>138</v>
      </c>
      <c r="B139">
        <v>3</v>
      </c>
      <c r="C139" t="s">
        <v>132</v>
      </c>
      <c r="D139" s="2" t="s">
        <v>131</v>
      </c>
      <c r="E139" s="2">
        <v>44914</v>
      </c>
      <c r="F139">
        <v>30</v>
      </c>
      <c r="G139">
        <v>1.9</v>
      </c>
      <c r="H139">
        <v>0.4</v>
      </c>
      <c r="I139">
        <v>48.5</v>
      </c>
      <c r="J139">
        <f t="shared" si="8"/>
        <v>1455</v>
      </c>
      <c r="K139" s="2">
        <v>44916</v>
      </c>
      <c r="L139" s="2" t="s">
        <v>131</v>
      </c>
      <c r="M139">
        <v>135</v>
      </c>
      <c r="N139">
        <v>2.2000000000000002</v>
      </c>
      <c r="O139" s="16">
        <v>2.1</v>
      </c>
      <c r="P139">
        <v>43.5</v>
      </c>
      <c r="Q139">
        <f t="shared" si="9"/>
        <v>5872.5</v>
      </c>
    </row>
    <row r="140" spans="1:17" x14ac:dyDescent="0.35">
      <c r="A140">
        <v>140</v>
      </c>
      <c r="B140">
        <v>2</v>
      </c>
      <c r="C140" t="str">
        <f>VLOOKUP(A140, Dissect!A:Q, 6)</f>
        <v>M</v>
      </c>
      <c r="D140" s="2" t="s">
        <v>131</v>
      </c>
      <c r="E140" s="2">
        <v>44914</v>
      </c>
      <c r="F140">
        <v>43</v>
      </c>
      <c r="G140">
        <v>1.9</v>
      </c>
      <c r="H140">
        <v>0.3</v>
      </c>
      <c r="I140">
        <v>48.5</v>
      </c>
      <c r="J140">
        <f t="shared" si="8"/>
        <v>2085.5</v>
      </c>
      <c r="K140" s="2">
        <v>44916</v>
      </c>
      <c r="L140" s="2" t="s">
        <v>131</v>
      </c>
      <c r="M140">
        <v>141</v>
      </c>
      <c r="N140">
        <v>2.2000000000000002</v>
      </c>
      <c r="O140" s="16">
        <v>1.7</v>
      </c>
      <c r="P140">
        <v>43.5</v>
      </c>
      <c r="Q140">
        <f t="shared" si="9"/>
        <v>6133.5</v>
      </c>
    </row>
    <row r="141" spans="1:17" x14ac:dyDescent="0.35">
      <c r="A141">
        <v>141</v>
      </c>
      <c r="B141">
        <v>2</v>
      </c>
      <c r="C141" t="str">
        <f>VLOOKUP(A141, Dissect!A:Q, 6)</f>
        <v>F</v>
      </c>
      <c r="D141" s="2" t="s">
        <v>131</v>
      </c>
      <c r="E141" s="2">
        <v>44914</v>
      </c>
      <c r="F141">
        <v>8</v>
      </c>
      <c r="G141">
        <v>1.8</v>
      </c>
      <c r="H141">
        <v>0.9</v>
      </c>
      <c r="I141">
        <v>48.5</v>
      </c>
      <c r="J141">
        <f t="shared" si="8"/>
        <v>388</v>
      </c>
      <c r="K141" s="2">
        <v>44916</v>
      </c>
      <c r="L141" s="2" t="s">
        <v>131</v>
      </c>
      <c r="M141">
        <v>22</v>
      </c>
      <c r="N141">
        <v>2</v>
      </c>
      <c r="O141" s="16">
        <v>0.8</v>
      </c>
      <c r="P141">
        <v>43.5</v>
      </c>
      <c r="Q141">
        <f t="shared" si="9"/>
        <v>957</v>
      </c>
    </row>
    <row r="142" spans="1:17" x14ac:dyDescent="0.35">
      <c r="A142">
        <v>142</v>
      </c>
      <c r="B142">
        <v>2</v>
      </c>
      <c r="C142" t="s">
        <v>31</v>
      </c>
      <c r="D142" s="2" t="s">
        <v>131</v>
      </c>
      <c r="E142" s="2">
        <v>44914</v>
      </c>
      <c r="F142">
        <v>37</v>
      </c>
      <c r="G142">
        <v>1.9</v>
      </c>
      <c r="H142">
        <v>2.1</v>
      </c>
      <c r="I142">
        <v>48.5</v>
      </c>
      <c r="J142">
        <f t="shared" si="8"/>
        <v>1794.5</v>
      </c>
      <c r="K142" s="2">
        <v>44916</v>
      </c>
      <c r="L142" s="2" t="s">
        <v>131</v>
      </c>
      <c r="M142">
        <v>119</v>
      </c>
      <c r="N142">
        <v>2.2000000000000002</v>
      </c>
      <c r="O142" s="16">
        <v>0.7</v>
      </c>
      <c r="P142">
        <v>43.5</v>
      </c>
      <c r="Q142">
        <f t="shared" si="9"/>
        <v>5176.5</v>
      </c>
    </row>
    <row r="143" spans="1:17" x14ac:dyDescent="0.35">
      <c r="A143">
        <v>143</v>
      </c>
      <c r="B143">
        <v>3</v>
      </c>
      <c r="C143" t="str">
        <f>VLOOKUP(A143, Dissect!A:Q, 6)</f>
        <v>F</v>
      </c>
      <c r="D143" s="2" t="s">
        <v>131</v>
      </c>
      <c r="E143" s="2">
        <v>44914</v>
      </c>
      <c r="F143">
        <v>19</v>
      </c>
      <c r="G143">
        <v>1.9</v>
      </c>
      <c r="H143">
        <v>1.8</v>
      </c>
      <c r="I143">
        <v>48.5</v>
      </c>
      <c r="J143">
        <f t="shared" si="8"/>
        <v>921.5</v>
      </c>
      <c r="K143" s="2">
        <v>44916</v>
      </c>
      <c r="L143" s="2" t="s">
        <v>131</v>
      </c>
      <c r="M143">
        <v>43</v>
      </c>
      <c r="N143">
        <v>2.1</v>
      </c>
      <c r="O143" s="16">
        <v>0.3</v>
      </c>
      <c r="P143">
        <v>43.5</v>
      </c>
      <c r="Q143">
        <f t="shared" si="9"/>
        <v>1870.5</v>
      </c>
    </row>
    <row r="144" spans="1:17" x14ac:dyDescent="0.35">
      <c r="A144">
        <v>144</v>
      </c>
      <c r="B144">
        <v>3</v>
      </c>
      <c r="C144" t="s">
        <v>132</v>
      </c>
      <c r="D144" s="2" t="s">
        <v>131</v>
      </c>
      <c r="E144" s="2">
        <v>44914</v>
      </c>
      <c r="F144">
        <v>24</v>
      </c>
      <c r="G144">
        <v>1.9</v>
      </c>
      <c r="H144">
        <v>1.9</v>
      </c>
      <c r="I144">
        <v>48.5</v>
      </c>
      <c r="J144">
        <f t="shared" si="8"/>
        <v>1164</v>
      </c>
      <c r="K144" s="2">
        <v>44916</v>
      </c>
      <c r="L144" s="2" t="s">
        <v>131</v>
      </c>
      <c r="M144">
        <v>86</v>
      </c>
      <c r="N144">
        <v>2.1</v>
      </c>
      <c r="O144" s="16">
        <v>0.8</v>
      </c>
      <c r="P144">
        <v>43.5</v>
      </c>
      <c r="Q144">
        <f t="shared" si="9"/>
        <v>3741</v>
      </c>
    </row>
    <row r="145" spans="1:17" x14ac:dyDescent="0.35">
      <c r="A145">
        <v>145</v>
      </c>
      <c r="B145">
        <v>3</v>
      </c>
      <c r="C145" t="str">
        <f>VLOOKUP(A145, Dissect!A:Q, 6)</f>
        <v>M</v>
      </c>
      <c r="D145" s="2" t="s">
        <v>131</v>
      </c>
      <c r="E145" s="2">
        <v>44914</v>
      </c>
      <c r="F145">
        <v>66</v>
      </c>
      <c r="G145">
        <v>1.9</v>
      </c>
      <c r="H145">
        <v>1.9</v>
      </c>
      <c r="I145">
        <v>48.5</v>
      </c>
      <c r="J145">
        <f t="shared" si="8"/>
        <v>3201</v>
      </c>
      <c r="K145" s="2">
        <v>44916</v>
      </c>
      <c r="L145" s="2" t="s">
        <v>131</v>
      </c>
      <c r="M145">
        <v>74</v>
      </c>
      <c r="N145">
        <v>2.1</v>
      </c>
      <c r="O145" s="16">
        <v>0.5</v>
      </c>
      <c r="P145">
        <v>43.5</v>
      </c>
      <c r="Q145">
        <f t="shared" si="9"/>
        <v>3219</v>
      </c>
    </row>
  </sheetData>
  <conditionalFormatting sqref="F2:F14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45">
    <cfRule type="expression" dxfId="3" priority="3">
      <formula>$H2 &lt; 1.9</formula>
    </cfRule>
  </conditionalFormatting>
  <conditionalFormatting sqref="O2:O58 O60:O145">
    <cfRule type="expression" dxfId="2" priority="2">
      <formula>$O2 &lt; 1.8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25"/>
  <sheetViews>
    <sheetView zoomScaleNormal="100" workbookViewId="0">
      <selection activeCell="G59" sqref="G59"/>
    </sheetView>
  </sheetViews>
  <sheetFormatPr defaultColWidth="8.453125" defaultRowHeight="14.5" x14ac:dyDescent="0.35"/>
  <cols>
    <col min="1" max="1" width="12.453125" customWidth="1"/>
    <col min="2" max="2" width="15.26953125" customWidth="1"/>
    <col min="3" max="3" width="2.81640625" customWidth="1"/>
    <col min="4" max="4" width="10.7265625" customWidth="1"/>
  </cols>
  <sheetData>
    <row r="3" spans="1:4" x14ac:dyDescent="0.35">
      <c r="A3" s="17" t="s">
        <v>133</v>
      </c>
      <c r="B3" s="18" t="s">
        <v>116</v>
      </c>
      <c r="C3" s="19"/>
      <c r="D3" s="20"/>
    </row>
    <row r="4" spans="1:4" x14ac:dyDescent="0.35">
      <c r="A4" s="21" t="s">
        <v>115</v>
      </c>
      <c r="B4" s="22" t="s">
        <v>31</v>
      </c>
      <c r="C4" s="23" t="s">
        <v>19</v>
      </c>
      <c r="D4" s="24" t="s">
        <v>134</v>
      </c>
    </row>
    <row r="5" spans="1:4" x14ac:dyDescent="0.35">
      <c r="A5" s="25">
        <v>2</v>
      </c>
      <c r="B5" s="26">
        <v>2</v>
      </c>
      <c r="C5" s="27">
        <v>2</v>
      </c>
      <c r="D5" s="28">
        <v>4</v>
      </c>
    </row>
    <row r="6" spans="1:4" x14ac:dyDescent="0.35">
      <c r="A6" s="29">
        <v>3</v>
      </c>
      <c r="B6" s="30">
        <v>3</v>
      </c>
      <c r="C6" s="31">
        <v>2</v>
      </c>
      <c r="D6" s="32">
        <v>5</v>
      </c>
    </row>
    <row r="7" spans="1:4" x14ac:dyDescent="0.35">
      <c r="A7" s="29">
        <v>4</v>
      </c>
      <c r="B7" s="30">
        <v>3</v>
      </c>
      <c r="C7" s="31">
        <v>3</v>
      </c>
      <c r="D7" s="32">
        <v>6</v>
      </c>
    </row>
    <row r="8" spans="1:4" x14ac:dyDescent="0.35">
      <c r="A8" s="29">
        <v>5</v>
      </c>
      <c r="B8" s="30">
        <v>3</v>
      </c>
      <c r="C8" s="31">
        <v>3</v>
      </c>
      <c r="D8" s="32">
        <v>6</v>
      </c>
    </row>
    <row r="9" spans="1:4" x14ac:dyDescent="0.35">
      <c r="A9" s="29">
        <v>6</v>
      </c>
      <c r="B9" s="30">
        <v>1</v>
      </c>
      <c r="C9" s="31">
        <v>1</v>
      </c>
      <c r="D9" s="32">
        <v>2</v>
      </c>
    </row>
    <row r="10" spans="1:4" x14ac:dyDescent="0.35">
      <c r="A10" s="29">
        <v>7</v>
      </c>
      <c r="B10" s="30">
        <v>3</v>
      </c>
      <c r="C10" s="31">
        <v>4</v>
      </c>
      <c r="D10" s="32">
        <v>7</v>
      </c>
    </row>
    <row r="11" spans="1:4" x14ac:dyDescent="0.35">
      <c r="A11" s="29">
        <v>8</v>
      </c>
      <c r="B11" s="30">
        <v>3</v>
      </c>
      <c r="C11" s="31">
        <v>3</v>
      </c>
      <c r="D11" s="32">
        <v>6</v>
      </c>
    </row>
    <row r="12" spans="1:4" x14ac:dyDescent="0.35">
      <c r="A12" s="29">
        <v>9</v>
      </c>
      <c r="B12" s="30">
        <v>3</v>
      </c>
      <c r="C12" s="31">
        <v>3</v>
      </c>
      <c r="D12" s="32">
        <v>6</v>
      </c>
    </row>
    <row r="13" spans="1:4" x14ac:dyDescent="0.35">
      <c r="A13" s="29">
        <v>10</v>
      </c>
      <c r="B13" s="30">
        <v>2</v>
      </c>
      <c r="C13" s="31">
        <v>3</v>
      </c>
      <c r="D13" s="32">
        <v>5</v>
      </c>
    </row>
    <row r="14" spans="1:4" x14ac:dyDescent="0.35">
      <c r="A14" s="29">
        <v>14</v>
      </c>
      <c r="B14" s="30">
        <v>4</v>
      </c>
      <c r="C14" s="31">
        <v>4</v>
      </c>
      <c r="D14" s="32">
        <v>8</v>
      </c>
    </row>
    <row r="15" spans="1:4" x14ac:dyDescent="0.35">
      <c r="A15" s="29">
        <v>15</v>
      </c>
      <c r="B15" s="30">
        <v>3</v>
      </c>
      <c r="C15" s="31"/>
      <c r="D15" s="32">
        <v>3</v>
      </c>
    </row>
    <row r="16" spans="1:4" x14ac:dyDescent="0.35">
      <c r="A16" s="29">
        <v>16</v>
      </c>
      <c r="B16" s="30">
        <v>3</v>
      </c>
      <c r="C16" s="31">
        <v>4</v>
      </c>
      <c r="D16" s="32">
        <v>7</v>
      </c>
    </row>
    <row r="17" spans="1:4" x14ac:dyDescent="0.35">
      <c r="A17" s="29">
        <v>17</v>
      </c>
      <c r="B17" s="30">
        <v>2</v>
      </c>
      <c r="C17" s="31">
        <v>5</v>
      </c>
      <c r="D17" s="32">
        <v>7</v>
      </c>
    </row>
    <row r="18" spans="1:4" x14ac:dyDescent="0.35">
      <c r="A18" s="29">
        <v>19</v>
      </c>
      <c r="B18" s="30">
        <v>3</v>
      </c>
      <c r="C18" s="31">
        <v>2</v>
      </c>
      <c r="D18" s="32">
        <v>5</v>
      </c>
    </row>
    <row r="19" spans="1:4" x14ac:dyDescent="0.35">
      <c r="A19" s="29">
        <v>21</v>
      </c>
      <c r="B19" s="30">
        <v>2</v>
      </c>
      <c r="C19" s="31">
        <v>2</v>
      </c>
      <c r="D19" s="32">
        <v>4</v>
      </c>
    </row>
    <row r="20" spans="1:4" x14ac:dyDescent="0.35">
      <c r="A20" s="29">
        <v>23</v>
      </c>
      <c r="B20" s="30">
        <v>2</v>
      </c>
      <c r="C20" s="31"/>
      <c r="D20" s="32">
        <v>2</v>
      </c>
    </row>
    <row r="21" spans="1:4" x14ac:dyDescent="0.35">
      <c r="A21" s="29">
        <v>25</v>
      </c>
      <c r="B21" s="30">
        <v>1</v>
      </c>
      <c r="C21" s="31">
        <v>1</v>
      </c>
      <c r="D21" s="32">
        <v>2</v>
      </c>
    </row>
    <row r="22" spans="1:4" x14ac:dyDescent="0.35">
      <c r="A22" s="29">
        <v>27</v>
      </c>
      <c r="B22" s="30">
        <v>2</v>
      </c>
      <c r="C22" s="31">
        <v>2</v>
      </c>
      <c r="D22" s="32">
        <v>4</v>
      </c>
    </row>
    <row r="23" spans="1:4" x14ac:dyDescent="0.35">
      <c r="A23" s="29">
        <v>28</v>
      </c>
      <c r="B23" s="30">
        <v>2</v>
      </c>
      <c r="C23" s="31">
        <v>2</v>
      </c>
      <c r="D23" s="32">
        <v>4</v>
      </c>
    </row>
    <row r="24" spans="1:4" x14ac:dyDescent="0.35">
      <c r="A24" s="29">
        <v>29</v>
      </c>
      <c r="B24" s="33">
        <v>2</v>
      </c>
      <c r="C24" s="34">
        <v>1</v>
      </c>
      <c r="D24" s="35">
        <v>3</v>
      </c>
    </row>
    <row r="25" spans="1:4" x14ac:dyDescent="0.35">
      <c r="A25" s="36" t="s">
        <v>134</v>
      </c>
      <c r="B25" s="37">
        <v>49</v>
      </c>
      <c r="C25" s="38">
        <v>47</v>
      </c>
      <c r="D25" s="39">
        <v>96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97"/>
  <sheetViews>
    <sheetView topLeftCell="A42" zoomScaleNormal="100" workbookViewId="0">
      <selection activeCell="F52" sqref="F52"/>
    </sheetView>
  </sheetViews>
  <sheetFormatPr defaultColWidth="8.453125" defaultRowHeight="14.5" x14ac:dyDescent="0.35"/>
  <cols>
    <col min="2" max="2" width="12.1796875" customWidth="1"/>
    <col min="4" max="4" width="16.81640625" customWidth="1"/>
    <col min="5" max="5" width="18.1796875" customWidth="1"/>
    <col min="6" max="6" width="15.26953125" customWidth="1"/>
    <col min="9" max="9" width="10.1796875" customWidth="1"/>
    <col min="10" max="10" width="13.1796875" customWidth="1"/>
    <col min="11" max="11" width="18" customWidth="1"/>
    <col min="12" max="12" width="16.54296875" customWidth="1"/>
    <col min="13" max="13" width="15.1796875" customWidth="1"/>
    <col min="16" max="16" width="10.1796875" customWidth="1"/>
    <col min="17" max="17" width="12.81640625" customWidth="1"/>
    <col min="19" max="19" width="10.26953125" customWidth="1"/>
  </cols>
  <sheetData>
    <row r="1" spans="1:19" x14ac:dyDescent="0.35">
      <c r="A1" s="40" t="s">
        <v>0</v>
      </c>
      <c r="B1" s="40" t="s">
        <v>115</v>
      </c>
      <c r="C1" s="40" t="s">
        <v>116</v>
      </c>
      <c r="D1" s="40" t="s">
        <v>117</v>
      </c>
      <c r="E1" s="40" t="s">
        <v>118</v>
      </c>
      <c r="F1" s="40" t="s">
        <v>119</v>
      </c>
      <c r="G1" s="40" t="s">
        <v>120</v>
      </c>
      <c r="H1" s="40" t="s">
        <v>121</v>
      </c>
      <c r="I1" s="40" t="s">
        <v>122</v>
      </c>
      <c r="J1" s="40" t="s">
        <v>123</v>
      </c>
      <c r="K1" s="40" t="s">
        <v>124</v>
      </c>
      <c r="L1" s="40" t="s">
        <v>125</v>
      </c>
      <c r="M1" s="40" t="s">
        <v>126</v>
      </c>
      <c r="N1" s="40" t="s">
        <v>127</v>
      </c>
      <c r="O1" s="40" t="s">
        <v>128</v>
      </c>
      <c r="P1" s="40" t="s">
        <v>122</v>
      </c>
      <c r="Q1" s="40" t="s">
        <v>129</v>
      </c>
    </row>
    <row r="2" spans="1:19" s="42" customFormat="1" x14ac:dyDescent="0.35">
      <c r="A2" s="13">
        <v>1</v>
      </c>
      <c r="B2" s="13">
        <v>29</v>
      </c>
      <c r="C2" s="13" t="s">
        <v>19</v>
      </c>
      <c r="D2" s="13" t="s">
        <v>130</v>
      </c>
      <c r="E2" s="14">
        <v>44881</v>
      </c>
      <c r="F2" s="13">
        <v>84.9</v>
      </c>
      <c r="G2" s="13">
        <v>1.9</v>
      </c>
      <c r="H2" s="13">
        <v>1.4</v>
      </c>
      <c r="I2" s="13">
        <v>48.5</v>
      </c>
      <c r="J2" s="13">
        <v>4117.6499999999996</v>
      </c>
      <c r="K2" s="14">
        <v>44895</v>
      </c>
      <c r="L2" s="14" t="s">
        <v>131</v>
      </c>
      <c r="M2" s="13">
        <v>206</v>
      </c>
      <c r="N2" s="13">
        <v>2.2000000000000002</v>
      </c>
      <c r="O2" s="41">
        <v>2.25</v>
      </c>
      <c r="P2" s="13">
        <v>43.5</v>
      </c>
      <c r="Q2" s="13">
        <v>8961</v>
      </c>
      <c r="S2" s="42" t="s">
        <v>135</v>
      </c>
    </row>
    <row r="3" spans="1:19" s="43" customFormat="1" x14ac:dyDescent="0.35">
      <c r="A3" s="13">
        <v>2</v>
      </c>
      <c r="B3" s="13">
        <v>28</v>
      </c>
      <c r="C3" s="13" t="s">
        <v>19</v>
      </c>
      <c r="D3" s="13" t="s">
        <v>130</v>
      </c>
      <c r="E3" s="14">
        <v>44881</v>
      </c>
      <c r="F3" s="13">
        <v>306</v>
      </c>
      <c r="G3" s="13">
        <v>1.9</v>
      </c>
      <c r="H3" s="13">
        <v>2.2999999999999998</v>
      </c>
      <c r="I3" s="13">
        <v>48.5</v>
      </c>
      <c r="J3" s="13">
        <v>14841</v>
      </c>
      <c r="K3" s="14">
        <v>44895</v>
      </c>
      <c r="L3" s="14" t="s">
        <v>131</v>
      </c>
      <c r="M3" s="13">
        <v>297</v>
      </c>
      <c r="N3" s="13">
        <v>2.2000000000000002</v>
      </c>
      <c r="O3" s="41">
        <v>2.02</v>
      </c>
      <c r="P3" s="13">
        <v>43.5</v>
      </c>
      <c r="Q3" s="13">
        <v>12919.5</v>
      </c>
      <c r="S3" s="13" t="s">
        <v>136</v>
      </c>
    </row>
    <row r="4" spans="1:19" x14ac:dyDescent="0.35">
      <c r="A4" s="13">
        <v>3</v>
      </c>
      <c r="B4" s="13">
        <v>27</v>
      </c>
      <c r="C4" s="13" t="s">
        <v>19</v>
      </c>
      <c r="D4" s="13" t="s">
        <v>130</v>
      </c>
      <c r="E4" s="14">
        <v>44881</v>
      </c>
      <c r="F4" s="13">
        <v>35</v>
      </c>
      <c r="G4" s="13">
        <v>1.9</v>
      </c>
      <c r="H4" s="13">
        <v>-24</v>
      </c>
      <c r="I4" s="13">
        <v>48.5</v>
      </c>
      <c r="J4" s="13">
        <v>1697.5</v>
      </c>
      <c r="K4" s="14">
        <v>44895</v>
      </c>
      <c r="L4" s="14" t="s">
        <v>131</v>
      </c>
      <c r="M4" s="13">
        <v>31</v>
      </c>
      <c r="N4" s="13">
        <v>2.1</v>
      </c>
      <c r="O4" s="41">
        <v>1.57</v>
      </c>
      <c r="P4" s="13">
        <v>43.5</v>
      </c>
      <c r="Q4" s="13">
        <v>1348.5</v>
      </c>
    </row>
    <row r="5" spans="1:19" s="42" customFormat="1" x14ac:dyDescent="0.35">
      <c r="A5" s="13">
        <v>6</v>
      </c>
      <c r="B5" s="13">
        <v>21</v>
      </c>
      <c r="C5" s="13" t="s">
        <v>31</v>
      </c>
      <c r="D5" s="13" t="s">
        <v>130</v>
      </c>
      <c r="E5" s="14">
        <v>44881</v>
      </c>
      <c r="F5" s="13">
        <v>216</v>
      </c>
      <c r="G5" s="13">
        <v>1.9</v>
      </c>
      <c r="H5" s="13">
        <v>1.5</v>
      </c>
      <c r="I5" s="13">
        <v>48.5</v>
      </c>
      <c r="J5" s="13">
        <v>10476</v>
      </c>
      <c r="K5" s="14">
        <v>44895</v>
      </c>
      <c r="L5" s="14" t="s">
        <v>131</v>
      </c>
      <c r="M5" s="13">
        <v>592</v>
      </c>
      <c r="N5" s="13">
        <v>2.2000000000000002</v>
      </c>
      <c r="O5" s="41">
        <v>2.19</v>
      </c>
      <c r="P5" s="13">
        <v>43.5</v>
      </c>
      <c r="Q5" s="13">
        <v>25752</v>
      </c>
    </row>
    <row r="6" spans="1:19" x14ac:dyDescent="0.35">
      <c r="A6" s="13">
        <v>7</v>
      </c>
      <c r="B6" s="13">
        <v>29</v>
      </c>
      <c r="C6" s="13" t="s">
        <v>31</v>
      </c>
      <c r="D6" s="13" t="s">
        <v>130</v>
      </c>
      <c r="E6" s="14">
        <v>44881</v>
      </c>
      <c r="F6" s="13">
        <v>100</v>
      </c>
      <c r="G6" s="13">
        <v>1.9</v>
      </c>
      <c r="H6" s="13">
        <v>3.1</v>
      </c>
      <c r="I6" s="13">
        <v>48.5</v>
      </c>
      <c r="J6" s="13">
        <v>4850</v>
      </c>
      <c r="K6" s="14">
        <v>44895</v>
      </c>
      <c r="L6" s="14" t="s">
        <v>131</v>
      </c>
      <c r="M6" s="13">
        <v>390</v>
      </c>
      <c r="N6" s="13">
        <v>2.2000000000000002</v>
      </c>
      <c r="O6" s="41">
        <v>2.21</v>
      </c>
      <c r="P6" s="13">
        <v>43.5</v>
      </c>
      <c r="Q6" s="13">
        <v>16965</v>
      </c>
    </row>
    <row r="7" spans="1:19" s="13" customFormat="1" x14ac:dyDescent="0.35">
      <c r="A7" s="13">
        <v>8</v>
      </c>
      <c r="B7" s="13">
        <v>28</v>
      </c>
      <c r="C7" s="13" t="s">
        <v>31</v>
      </c>
      <c r="D7" s="13" t="s">
        <v>130</v>
      </c>
      <c r="E7" s="14">
        <v>44881</v>
      </c>
      <c r="F7" s="13">
        <v>95</v>
      </c>
      <c r="G7" s="13">
        <v>1.9</v>
      </c>
      <c r="H7" s="13">
        <v>1.2</v>
      </c>
      <c r="I7" s="13">
        <v>48.5</v>
      </c>
      <c r="J7" s="13">
        <v>4607.5</v>
      </c>
      <c r="K7" s="14">
        <v>44895</v>
      </c>
      <c r="L7" s="14" t="s">
        <v>131</v>
      </c>
      <c r="M7" s="13">
        <v>923</v>
      </c>
      <c r="N7" s="13">
        <v>2.2000000000000002</v>
      </c>
      <c r="O7" s="41">
        <v>2.06</v>
      </c>
      <c r="P7" s="13">
        <v>43.5</v>
      </c>
      <c r="Q7" s="13">
        <v>40150.5</v>
      </c>
    </row>
    <row r="8" spans="1:19" s="42" customFormat="1" x14ac:dyDescent="0.35">
      <c r="A8" s="13">
        <v>9</v>
      </c>
      <c r="B8" s="13">
        <v>27</v>
      </c>
      <c r="C8" s="13" t="s">
        <v>31</v>
      </c>
      <c r="D8" s="13" t="s">
        <v>130</v>
      </c>
      <c r="E8" s="14">
        <v>44881</v>
      </c>
      <c r="F8" s="13">
        <v>324</v>
      </c>
      <c r="G8" s="13">
        <v>2</v>
      </c>
      <c r="H8" s="13">
        <v>2.6</v>
      </c>
      <c r="I8" s="13">
        <v>48.5</v>
      </c>
      <c r="J8" s="13">
        <v>15714</v>
      </c>
      <c r="K8" s="14">
        <v>44895</v>
      </c>
      <c r="L8" s="14" t="s">
        <v>131</v>
      </c>
      <c r="M8" s="13">
        <v>488</v>
      </c>
      <c r="N8" s="13">
        <v>2.2000000000000002</v>
      </c>
      <c r="O8" s="41">
        <v>2.2200000000000002</v>
      </c>
      <c r="P8" s="13">
        <v>43.5</v>
      </c>
      <c r="Q8" s="13">
        <v>21228</v>
      </c>
    </row>
    <row r="9" spans="1:19" x14ac:dyDescent="0.35">
      <c r="A9" s="13">
        <v>10</v>
      </c>
      <c r="B9" s="13">
        <v>25</v>
      </c>
      <c r="C9" s="13" t="s">
        <v>19</v>
      </c>
      <c r="D9" s="13" t="s">
        <v>130</v>
      </c>
      <c r="E9" s="14">
        <v>44881</v>
      </c>
      <c r="F9" s="13">
        <v>266</v>
      </c>
      <c r="G9" s="13">
        <v>1.9</v>
      </c>
      <c r="H9" s="13">
        <v>1.7</v>
      </c>
      <c r="I9" s="13">
        <v>48.5</v>
      </c>
      <c r="J9" s="13">
        <v>12901</v>
      </c>
      <c r="K9" s="14">
        <v>44895</v>
      </c>
      <c r="L9" s="14" t="s">
        <v>131</v>
      </c>
      <c r="M9" s="13">
        <v>604</v>
      </c>
      <c r="N9" s="13">
        <v>2.2000000000000002</v>
      </c>
      <c r="O9" s="41">
        <v>2.2799999999999998</v>
      </c>
      <c r="P9" s="13">
        <v>43.5</v>
      </c>
      <c r="Q9" s="13">
        <v>26274</v>
      </c>
    </row>
    <row r="10" spans="1:19" s="43" customFormat="1" x14ac:dyDescent="0.35">
      <c r="A10" s="13">
        <v>11</v>
      </c>
      <c r="B10" s="13">
        <v>25</v>
      </c>
      <c r="C10" s="13" t="str">
        <f>VLOOKUP(A10, Dissect!A:Q, 6)</f>
        <v>F</v>
      </c>
      <c r="D10" s="13" t="s">
        <v>130</v>
      </c>
      <c r="E10" s="14">
        <v>44881</v>
      </c>
      <c r="F10" s="44">
        <v>94</v>
      </c>
      <c r="G10" s="13">
        <v>1.9</v>
      </c>
      <c r="H10" s="13">
        <v>4.5</v>
      </c>
      <c r="I10" s="13">
        <v>48.5</v>
      </c>
      <c r="J10" s="13">
        <f>I10*F10</f>
        <v>4559</v>
      </c>
      <c r="K10" s="14">
        <v>44895</v>
      </c>
      <c r="L10" s="14" t="s">
        <v>131</v>
      </c>
      <c r="M10" s="13">
        <v>594</v>
      </c>
      <c r="N10" s="13">
        <v>2.2000000000000002</v>
      </c>
      <c r="O10" s="41">
        <v>2.25</v>
      </c>
      <c r="P10" s="13">
        <v>43.5</v>
      </c>
      <c r="Q10" s="13">
        <f>M10*P10</f>
        <v>25839</v>
      </c>
    </row>
    <row r="11" spans="1:19" x14ac:dyDescent="0.35">
      <c r="A11" s="13">
        <v>12</v>
      </c>
      <c r="B11" s="13">
        <v>23</v>
      </c>
      <c r="C11" s="13" t="s">
        <v>31</v>
      </c>
      <c r="D11" s="13" t="s">
        <v>130</v>
      </c>
      <c r="E11" s="14">
        <v>44881</v>
      </c>
      <c r="F11" s="13">
        <v>113</v>
      </c>
      <c r="G11" s="13">
        <v>1.9</v>
      </c>
      <c r="H11" s="13">
        <v>3.4</v>
      </c>
      <c r="I11" s="13">
        <v>48.5</v>
      </c>
      <c r="J11" s="13">
        <v>5480.5</v>
      </c>
      <c r="K11" s="14">
        <v>44895</v>
      </c>
      <c r="L11" s="14" t="s">
        <v>131</v>
      </c>
      <c r="M11" s="13">
        <v>499</v>
      </c>
      <c r="N11" s="13">
        <v>2.2000000000000002</v>
      </c>
      <c r="O11" s="41">
        <v>1.94</v>
      </c>
      <c r="P11" s="13">
        <v>43.5</v>
      </c>
      <c r="Q11" s="13">
        <v>21706.5</v>
      </c>
    </row>
    <row r="12" spans="1:19" x14ac:dyDescent="0.35">
      <c r="A12" s="13">
        <v>13</v>
      </c>
      <c r="B12" s="13">
        <v>23</v>
      </c>
      <c r="C12" s="13" t="s">
        <v>31</v>
      </c>
      <c r="D12" s="13" t="s">
        <v>130</v>
      </c>
      <c r="E12" s="14">
        <v>44881</v>
      </c>
      <c r="F12" s="13">
        <v>90</v>
      </c>
      <c r="G12" s="13">
        <v>1.9</v>
      </c>
      <c r="H12" s="13">
        <v>4.5999999999999996</v>
      </c>
      <c r="I12" s="13">
        <v>48.5</v>
      </c>
      <c r="J12" s="13">
        <v>4365</v>
      </c>
      <c r="K12" s="14">
        <v>44895</v>
      </c>
      <c r="L12" s="14" t="s">
        <v>131</v>
      </c>
      <c r="M12" s="13">
        <v>352</v>
      </c>
      <c r="N12" s="13">
        <v>2.2000000000000002</v>
      </c>
      <c r="O12" s="41">
        <v>0.54</v>
      </c>
      <c r="P12" s="13">
        <v>43.5</v>
      </c>
      <c r="Q12" s="13">
        <v>15312</v>
      </c>
    </row>
    <row r="13" spans="1:19" s="13" customFormat="1" x14ac:dyDescent="0.35">
      <c r="A13" s="13">
        <v>14</v>
      </c>
      <c r="B13" s="13">
        <v>21</v>
      </c>
      <c r="C13" s="13" t="s">
        <v>19</v>
      </c>
      <c r="D13" s="13" t="s">
        <v>130</v>
      </c>
      <c r="E13" s="14">
        <v>44881</v>
      </c>
      <c r="F13" s="13">
        <v>127</v>
      </c>
      <c r="G13" s="13">
        <v>1.9</v>
      </c>
      <c r="H13" s="13">
        <v>3.3</v>
      </c>
      <c r="I13" s="13">
        <v>48.5</v>
      </c>
      <c r="J13" s="13">
        <v>6159.5</v>
      </c>
      <c r="K13" s="14">
        <v>44895</v>
      </c>
      <c r="L13" s="14" t="s">
        <v>131</v>
      </c>
      <c r="M13" s="13">
        <v>342</v>
      </c>
      <c r="N13" s="13">
        <v>2.2000000000000002</v>
      </c>
      <c r="O13" s="41">
        <v>1.98</v>
      </c>
      <c r="P13" s="13">
        <v>43.5</v>
      </c>
      <c r="Q13" s="13">
        <v>14877</v>
      </c>
    </row>
    <row r="14" spans="1:19" s="13" customFormat="1" x14ac:dyDescent="0.35">
      <c r="A14" s="13">
        <v>15</v>
      </c>
      <c r="B14" s="13">
        <v>21</v>
      </c>
      <c r="C14" s="13" t="s">
        <v>31</v>
      </c>
      <c r="D14" s="13" t="s">
        <v>130</v>
      </c>
      <c r="E14" s="14">
        <v>44881</v>
      </c>
      <c r="F14" s="13">
        <v>60</v>
      </c>
      <c r="G14" s="13">
        <v>1.9</v>
      </c>
      <c r="H14" s="13">
        <v>4.3</v>
      </c>
      <c r="I14" s="13">
        <v>48.5</v>
      </c>
      <c r="J14" s="13">
        <v>2910</v>
      </c>
      <c r="K14" s="14">
        <v>44895</v>
      </c>
      <c r="L14" s="14" t="s">
        <v>131</v>
      </c>
      <c r="M14" s="13">
        <v>969</v>
      </c>
      <c r="N14" s="13">
        <v>2.2000000000000002</v>
      </c>
      <c r="O14" s="41">
        <v>2.21</v>
      </c>
      <c r="P14" s="13">
        <v>43.5</v>
      </c>
      <c r="Q14" s="13">
        <v>42151.5</v>
      </c>
    </row>
    <row r="15" spans="1:19" s="13" customFormat="1" x14ac:dyDescent="0.35">
      <c r="A15" s="13">
        <v>16</v>
      </c>
      <c r="B15" s="13">
        <v>29</v>
      </c>
      <c r="C15" s="13" t="s">
        <v>31</v>
      </c>
      <c r="D15" s="13" t="s">
        <v>130</v>
      </c>
      <c r="E15" s="14">
        <v>44881</v>
      </c>
      <c r="F15" s="13">
        <v>150</v>
      </c>
      <c r="G15" s="13">
        <v>1.9</v>
      </c>
      <c r="H15" s="13">
        <v>2.7</v>
      </c>
      <c r="I15" s="13">
        <v>48.5</v>
      </c>
      <c r="J15" s="13">
        <v>7275</v>
      </c>
      <c r="K15" s="14">
        <v>44895</v>
      </c>
      <c r="L15" s="14" t="s">
        <v>131</v>
      </c>
      <c r="M15" s="13">
        <v>531</v>
      </c>
      <c r="N15" s="13">
        <v>2.2000000000000002</v>
      </c>
      <c r="O15" s="41">
        <v>2.16</v>
      </c>
      <c r="P15" s="13">
        <v>43.5</v>
      </c>
      <c r="Q15" s="13">
        <v>23098.5</v>
      </c>
    </row>
    <row r="16" spans="1:19" s="13" customFormat="1" x14ac:dyDescent="0.35">
      <c r="A16" s="13">
        <v>17</v>
      </c>
      <c r="B16" s="13">
        <v>27</v>
      </c>
      <c r="C16" s="13" t="s">
        <v>31</v>
      </c>
      <c r="D16" s="13" t="s">
        <v>130</v>
      </c>
      <c r="E16" s="14">
        <v>44881</v>
      </c>
      <c r="F16" s="13">
        <v>93</v>
      </c>
      <c r="G16" s="13">
        <v>1.9</v>
      </c>
      <c r="H16" s="13">
        <v>3.4</v>
      </c>
      <c r="I16" s="13">
        <v>48.5</v>
      </c>
      <c r="J16" s="13">
        <v>4510.5</v>
      </c>
      <c r="K16" s="14">
        <v>44895</v>
      </c>
      <c r="L16" s="14" t="s">
        <v>131</v>
      </c>
      <c r="M16" s="13">
        <v>211</v>
      </c>
      <c r="N16" s="13">
        <v>2.2000000000000002</v>
      </c>
      <c r="O16" s="41">
        <v>2.21</v>
      </c>
      <c r="P16" s="13">
        <v>43.5</v>
      </c>
      <c r="Q16" s="13">
        <v>9178.5</v>
      </c>
    </row>
    <row r="17" spans="1:17" x14ac:dyDescent="0.35">
      <c r="A17" s="13">
        <v>18</v>
      </c>
      <c r="B17" s="13">
        <v>27</v>
      </c>
      <c r="C17" s="13" t="s">
        <v>19</v>
      </c>
      <c r="D17" s="13" t="s">
        <v>130</v>
      </c>
      <c r="E17" s="14">
        <v>44881</v>
      </c>
      <c r="F17" s="13">
        <v>135</v>
      </c>
      <c r="G17" s="13">
        <v>1.9</v>
      </c>
      <c r="H17" s="13">
        <v>3.7</v>
      </c>
      <c r="I17" s="13">
        <v>48.5</v>
      </c>
      <c r="J17" s="13">
        <v>6547.5</v>
      </c>
      <c r="K17" s="14">
        <v>44895</v>
      </c>
      <c r="L17" s="14" t="s">
        <v>131</v>
      </c>
      <c r="M17" s="13">
        <v>303</v>
      </c>
      <c r="N17" s="13">
        <v>2.2000000000000002</v>
      </c>
      <c r="O17" s="41">
        <v>2.14</v>
      </c>
      <c r="P17" s="13">
        <v>43.5</v>
      </c>
      <c r="Q17" s="13">
        <v>13180.5</v>
      </c>
    </row>
    <row r="18" spans="1:17" x14ac:dyDescent="0.35">
      <c r="A18" s="13">
        <v>19</v>
      </c>
      <c r="B18" s="13">
        <v>28</v>
      </c>
      <c r="C18" s="13" t="s">
        <v>31</v>
      </c>
      <c r="D18" s="13" t="s">
        <v>130</v>
      </c>
      <c r="E18" s="14">
        <v>44881</v>
      </c>
      <c r="F18" s="13">
        <v>56</v>
      </c>
      <c r="G18" s="13">
        <v>1.9</v>
      </c>
      <c r="H18" s="13">
        <v>0.4</v>
      </c>
      <c r="I18" s="13">
        <v>48.5</v>
      </c>
      <c r="J18" s="13">
        <v>2716</v>
      </c>
      <c r="K18" s="14">
        <v>44895</v>
      </c>
      <c r="L18" s="14" t="s">
        <v>131</v>
      </c>
      <c r="M18" s="13">
        <v>216</v>
      </c>
      <c r="N18" s="13">
        <v>2.2000000000000002</v>
      </c>
      <c r="O18" s="41">
        <v>1.99</v>
      </c>
      <c r="P18" s="13">
        <v>43.5</v>
      </c>
      <c r="Q18" s="13">
        <v>9396</v>
      </c>
    </row>
    <row r="19" spans="1:17" x14ac:dyDescent="0.35">
      <c r="A19" s="13">
        <v>20</v>
      </c>
      <c r="B19" s="13">
        <v>28</v>
      </c>
      <c r="C19" s="13" t="s">
        <v>19</v>
      </c>
      <c r="D19" s="13" t="s">
        <v>130</v>
      </c>
      <c r="E19" s="14">
        <v>44881</v>
      </c>
      <c r="F19" s="13">
        <v>145</v>
      </c>
      <c r="G19" s="13">
        <v>1.9</v>
      </c>
      <c r="H19" s="13">
        <v>3.2</v>
      </c>
      <c r="I19" s="13">
        <v>48.5</v>
      </c>
      <c r="J19" s="13">
        <v>7032.5</v>
      </c>
      <c r="K19" s="14">
        <v>44895</v>
      </c>
      <c r="L19" s="14" t="s">
        <v>131</v>
      </c>
      <c r="M19" s="13">
        <v>406</v>
      </c>
      <c r="N19" s="13">
        <v>2.2000000000000002</v>
      </c>
      <c r="O19" s="41">
        <v>2.1800000000000002</v>
      </c>
      <c r="P19" s="13">
        <v>43.5</v>
      </c>
      <c r="Q19" s="13">
        <v>17661</v>
      </c>
    </row>
    <row r="20" spans="1:17" x14ac:dyDescent="0.35">
      <c r="A20" s="13">
        <v>22</v>
      </c>
      <c r="B20" s="13">
        <v>21</v>
      </c>
      <c r="C20" s="13" t="s">
        <v>19</v>
      </c>
      <c r="D20" s="13" t="s">
        <v>130</v>
      </c>
      <c r="E20" s="14">
        <v>44881</v>
      </c>
      <c r="F20" s="13">
        <v>112</v>
      </c>
      <c r="G20" s="13">
        <v>1.9</v>
      </c>
      <c r="H20" s="13">
        <v>3.3</v>
      </c>
      <c r="I20" s="13">
        <v>48.5</v>
      </c>
      <c r="J20" s="13">
        <v>5432</v>
      </c>
      <c r="K20" s="14">
        <v>44895</v>
      </c>
      <c r="L20" s="14" t="s">
        <v>131</v>
      </c>
      <c r="M20" s="13">
        <v>100</v>
      </c>
      <c r="N20" s="13">
        <v>2.1</v>
      </c>
      <c r="O20" s="41">
        <v>1.56</v>
      </c>
      <c r="P20" s="13">
        <v>43.5</v>
      </c>
      <c r="Q20" s="13">
        <v>4350</v>
      </c>
    </row>
    <row r="21" spans="1:17" s="13" customFormat="1" x14ac:dyDescent="0.35">
      <c r="A21" s="13">
        <v>24</v>
      </c>
      <c r="B21" s="13">
        <v>19</v>
      </c>
      <c r="C21" s="13" t="s">
        <v>31</v>
      </c>
      <c r="D21" s="13" t="s">
        <v>130</v>
      </c>
      <c r="E21" s="14">
        <v>44881</v>
      </c>
      <c r="F21" s="13">
        <v>151</v>
      </c>
      <c r="G21" s="13">
        <v>1.9</v>
      </c>
      <c r="H21" s="13">
        <v>0.75</v>
      </c>
      <c r="I21" s="13">
        <v>48.5</v>
      </c>
      <c r="J21" s="13">
        <v>7323.5</v>
      </c>
      <c r="K21" s="14">
        <v>44895</v>
      </c>
      <c r="L21" s="14" t="s">
        <v>131</v>
      </c>
      <c r="M21" s="13">
        <v>624</v>
      </c>
      <c r="N21" s="13">
        <v>2.2000000000000002</v>
      </c>
      <c r="O21" s="13">
        <v>1.9</v>
      </c>
      <c r="P21" s="13">
        <v>43.5</v>
      </c>
      <c r="Q21" s="13">
        <v>27144</v>
      </c>
    </row>
    <row r="22" spans="1:17" x14ac:dyDescent="0.35">
      <c r="A22" s="13">
        <v>25</v>
      </c>
      <c r="B22" s="13">
        <v>17</v>
      </c>
      <c r="C22" s="13" t="s">
        <v>19</v>
      </c>
      <c r="D22" s="13" t="s">
        <v>130</v>
      </c>
      <c r="E22" s="14">
        <v>44881</v>
      </c>
      <c r="F22" s="13">
        <v>90</v>
      </c>
      <c r="G22" s="13">
        <v>1.9</v>
      </c>
      <c r="H22" s="13">
        <v>3.9</v>
      </c>
      <c r="I22" s="13">
        <v>48.5</v>
      </c>
      <c r="J22" s="13">
        <v>4365</v>
      </c>
      <c r="K22" s="14">
        <v>44896</v>
      </c>
      <c r="L22" s="14" t="s">
        <v>131</v>
      </c>
      <c r="M22" s="13">
        <v>240</v>
      </c>
      <c r="N22" s="13">
        <v>2.1</v>
      </c>
      <c r="O22" s="41">
        <v>1.95</v>
      </c>
      <c r="P22" s="13">
        <v>43.5</v>
      </c>
      <c r="Q22" s="13">
        <v>10440</v>
      </c>
    </row>
    <row r="23" spans="1:17" x14ac:dyDescent="0.35">
      <c r="A23" s="13">
        <v>26</v>
      </c>
      <c r="B23" s="13">
        <v>17</v>
      </c>
      <c r="C23" s="13" t="s">
        <v>31</v>
      </c>
      <c r="D23" s="13" t="s">
        <v>130</v>
      </c>
      <c r="E23" s="14">
        <v>44881</v>
      </c>
      <c r="F23" s="13">
        <v>70</v>
      </c>
      <c r="G23" s="13">
        <v>1.9</v>
      </c>
      <c r="H23" s="13">
        <v>3.9</v>
      </c>
      <c r="I23" s="13">
        <v>48.5</v>
      </c>
      <c r="J23" s="13">
        <v>3395</v>
      </c>
      <c r="K23" s="14">
        <v>44896</v>
      </c>
      <c r="L23" s="14" t="s">
        <v>131</v>
      </c>
      <c r="M23" s="13">
        <v>362</v>
      </c>
      <c r="N23" s="13">
        <v>2.2000000000000002</v>
      </c>
      <c r="O23" s="41">
        <v>1.96</v>
      </c>
      <c r="P23" s="13">
        <v>43.5</v>
      </c>
      <c r="Q23" s="13">
        <v>15747</v>
      </c>
    </row>
    <row r="24" spans="1:17" x14ac:dyDescent="0.35">
      <c r="A24" s="13">
        <v>27</v>
      </c>
      <c r="B24" s="13">
        <v>19</v>
      </c>
      <c r="C24" s="13" t="s">
        <v>19</v>
      </c>
      <c r="D24" s="13" t="s">
        <v>130</v>
      </c>
      <c r="E24" s="14">
        <v>44881</v>
      </c>
      <c r="F24" s="13">
        <v>57</v>
      </c>
      <c r="G24" s="13">
        <v>1.9</v>
      </c>
      <c r="H24" s="13">
        <v>6</v>
      </c>
      <c r="I24" s="13">
        <v>48.5</v>
      </c>
      <c r="J24" s="13">
        <v>2764.5</v>
      </c>
      <c r="K24" s="14">
        <v>44896</v>
      </c>
      <c r="L24" s="14" t="s">
        <v>131</v>
      </c>
      <c r="M24" s="13">
        <v>140</v>
      </c>
      <c r="N24" s="13">
        <v>2.2000000000000002</v>
      </c>
      <c r="O24" s="41">
        <v>2.1</v>
      </c>
      <c r="P24" s="13">
        <v>43.5</v>
      </c>
      <c r="Q24" s="13">
        <v>6090</v>
      </c>
    </row>
    <row r="25" spans="1:17" x14ac:dyDescent="0.35">
      <c r="A25" s="13">
        <v>28</v>
      </c>
      <c r="B25" s="13">
        <v>19</v>
      </c>
      <c r="C25" s="13" t="s">
        <v>31</v>
      </c>
      <c r="D25" s="13" t="s">
        <v>130</v>
      </c>
      <c r="E25" s="14">
        <v>44881</v>
      </c>
      <c r="F25" s="13">
        <v>128</v>
      </c>
      <c r="G25" s="13">
        <v>1.9</v>
      </c>
      <c r="H25" s="13">
        <v>2.9</v>
      </c>
      <c r="I25" s="13">
        <v>48.5</v>
      </c>
      <c r="J25" s="13">
        <v>6208</v>
      </c>
      <c r="K25" s="14">
        <v>44896</v>
      </c>
      <c r="L25" s="14" t="s">
        <v>131</v>
      </c>
      <c r="M25" s="13">
        <v>225</v>
      </c>
      <c r="N25" s="13">
        <v>2.2000000000000002</v>
      </c>
      <c r="O25" s="41">
        <v>2.2000000000000002</v>
      </c>
      <c r="P25" s="13">
        <v>43.5</v>
      </c>
      <c r="Q25" s="13">
        <v>9787.5</v>
      </c>
    </row>
    <row r="26" spans="1:17" x14ac:dyDescent="0.35">
      <c r="A26" s="13">
        <v>29</v>
      </c>
      <c r="B26" s="13">
        <v>17</v>
      </c>
      <c r="C26" s="13" t="s">
        <v>19</v>
      </c>
      <c r="D26" s="13" t="s">
        <v>130</v>
      </c>
      <c r="E26" s="14">
        <v>44881</v>
      </c>
      <c r="F26" s="13">
        <v>73</v>
      </c>
      <c r="G26" s="13">
        <v>1.9</v>
      </c>
      <c r="H26" s="13">
        <v>3.3</v>
      </c>
      <c r="I26" s="13">
        <v>48.5</v>
      </c>
      <c r="J26" s="13">
        <v>3540.5</v>
      </c>
      <c r="K26" s="14">
        <v>44896</v>
      </c>
      <c r="L26" s="14" t="s">
        <v>131</v>
      </c>
      <c r="M26" s="13">
        <v>190</v>
      </c>
      <c r="N26" s="13">
        <v>2</v>
      </c>
      <c r="O26" s="41">
        <v>1.2</v>
      </c>
      <c r="P26" s="13">
        <v>43.5</v>
      </c>
      <c r="Q26" s="13">
        <v>8265</v>
      </c>
    </row>
    <row r="27" spans="1:17" x14ac:dyDescent="0.35">
      <c r="A27" s="13">
        <v>30</v>
      </c>
      <c r="B27" s="13">
        <v>17</v>
      </c>
      <c r="C27" s="13" t="s">
        <v>31</v>
      </c>
      <c r="D27" s="13" t="s">
        <v>130</v>
      </c>
      <c r="E27" s="14">
        <v>44881</v>
      </c>
      <c r="F27" s="13">
        <v>78</v>
      </c>
      <c r="G27" s="13">
        <v>1.9</v>
      </c>
      <c r="H27" s="13">
        <v>3.6</v>
      </c>
      <c r="I27" s="13">
        <v>48.5</v>
      </c>
      <c r="J27" s="13">
        <v>3783</v>
      </c>
      <c r="K27" s="14">
        <v>44896</v>
      </c>
      <c r="L27" s="14" t="s">
        <v>131</v>
      </c>
      <c r="M27" s="13">
        <v>524</v>
      </c>
      <c r="N27" s="13">
        <v>2.2000000000000002</v>
      </c>
      <c r="O27" s="41">
        <v>2</v>
      </c>
      <c r="P27" s="13">
        <v>43.5</v>
      </c>
      <c r="Q27" s="13">
        <v>22794</v>
      </c>
    </row>
    <row r="28" spans="1:17" s="13" customFormat="1" x14ac:dyDescent="0.35">
      <c r="A28" s="13">
        <v>31</v>
      </c>
      <c r="B28" s="13">
        <v>19</v>
      </c>
      <c r="C28" s="13" t="s">
        <v>19</v>
      </c>
      <c r="D28" s="13" t="s">
        <v>130</v>
      </c>
      <c r="E28" s="14">
        <v>44881</v>
      </c>
      <c r="F28" s="13">
        <v>50</v>
      </c>
      <c r="G28" s="13">
        <v>1.9</v>
      </c>
      <c r="H28" s="13">
        <v>2.4</v>
      </c>
      <c r="I28" s="13">
        <v>48.5</v>
      </c>
      <c r="J28" s="13">
        <v>2425</v>
      </c>
      <c r="K28" s="14">
        <v>44896</v>
      </c>
      <c r="L28" s="14" t="s">
        <v>131</v>
      </c>
      <c r="M28" s="13">
        <v>100</v>
      </c>
      <c r="N28" s="13">
        <v>2.2000000000000002</v>
      </c>
      <c r="O28" s="41">
        <v>2.1</v>
      </c>
      <c r="P28" s="13">
        <v>43.5</v>
      </c>
      <c r="Q28" s="13">
        <v>4350</v>
      </c>
    </row>
    <row r="29" spans="1:17" x14ac:dyDescent="0.35">
      <c r="A29" s="13">
        <v>32</v>
      </c>
      <c r="B29" s="13">
        <v>19</v>
      </c>
      <c r="C29" s="13" t="s">
        <v>31</v>
      </c>
      <c r="D29" s="13" t="s">
        <v>130</v>
      </c>
      <c r="E29" s="14">
        <v>44881</v>
      </c>
      <c r="F29" s="13">
        <v>194</v>
      </c>
      <c r="G29" s="13">
        <v>1.9</v>
      </c>
      <c r="H29" s="13">
        <v>2.6</v>
      </c>
      <c r="I29" s="13">
        <v>48.5</v>
      </c>
      <c r="J29" s="13">
        <v>9409</v>
      </c>
      <c r="K29" s="14">
        <v>44896</v>
      </c>
      <c r="L29" s="14" t="s">
        <v>131</v>
      </c>
      <c r="M29" s="13">
        <v>541</v>
      </c>
      <c r="N29" s="13">
        <v>2.2000000000000002</v>
      </c>
      <c r="O29" s="41">
        <v>2.2000000000000002</v>
      </c>
      <c r="P29" s="13">
        <v>43.5</v>
      </c>
      <c r="Q29" s="13">
        <v>23533.5</v>
      </c>
    </row>
    <row r="30" spans="1:17" s="13" customFormat="1" x14ac:dyDescent="0.35">
      <c r="A30" s="13">
        <v>33</v>
      </c>
      <c r="B30" s="13">
        <v>17</v>
      </c>
      <c r="C30" s="13" t="s">
        <v>19</v>
      </c>
      <c r="D30" s="13" t="s">
        <v>130</v>
      </c>
      <c r="E30" s="14">
        <v>44881</v>
      </c>
      <c r="F30" s="13">
        <v>87</v>
      </c>
      <c r="G30" s="13">
        <v>1.9</v>
      </c>
      <c r="H30" s="13">
        <v>2.8</v>
      </c>
      <c r="I30" s="13">
        <v>48.5</v>
      </c>
      <c r="J30" s="13">
        <v>4219.5</v>
      </c>
      <c r="K30" s="14">
        <v>44896</v>
      </c>
      <c r="L30" s="14" t="s">
        <v>131</v>
      </c>
      <c r="M30" s="13">
        <v>254</v>
      </c>
      <c r="N30" s="13">
        <v>2.2000000000000002</v>
      </c>
      <c r="O30" s="41">
        <v>2.2000000000000002</v>
      </c>
      <c r="P30" s="13">
        <v>43.5</v>
      </c>
      <c r="Q30" s="13">
        <v>11049</v>
      </c>
    </row>
    <row r="31" spans="1:17" s="42" customFormat="1" x14ac:dyDescent="0.35">
      <c r="A31" s="13">
        <v>34</v>
      </c>
      <c r="B31" s="13">
        <v>17</v>
      </c>
      <c r="C31" s="13" t="s">
        <v>19</v>
      </c>
      <c r="D31" s="13" t="s">
        <v>130</v>
      </c>
      <c r="E31" s="14">
        <v>44881</v>
      </c>
      <c r="F31" s="13">
        <v>90</v>
      </c>
      <c r="G31" s="13">
        <v>1.9</v>
      </c>
      <c r="H31" s="13">
        <v>2.7</v>
      </c>
      <c r="I31" s="13">
        <v>48.5</v>
      </c>
      <c r="J31" s="13">
        <v>4365</v>
      </c>
      <c r="K31" s="14">
        <v>44896</v>
      </c>
      <c r="L31" s="14" t="s">
        <v>131</v>
      </c>
      <c r="M31" s="13">
        <v>215</v>
      </c>
      <c r="N31" s="13">
        <v>2.2000000000000002</v>
      </c>
      <c r="O31" s="41">
        <v>2.2000000000000002</v>
      </c>
      <c r="P31" s="13">
        <v>43.5</v>
      </c>
      <c r="Q31" s="13">
        <v>9352.5</v>
      </c>
    </row>
    <row r="32" spans="1:17" x14ac:dyDescent="0.35">
      <c r="A32" s="13">
        <v>35</v>
      </c>
      <c r="B32" s="13">
        <v>17</v>
      </c>
      <c r="C32" s="13" t="s">
        <v>19</v>
      </c>
      <c r="D32" s="13" t="s">
        <v>130</v>
      </c>
      <c r="E32" s="14">
        <v>44881</v>
      </c>
      <c r="F32" s="13">
        <v>140</v>
      </c>
      <c r="G32" s="13">
        <v>1.9</v>
      </c>
      <c r="H32" s="13">
        <v>3.5</v>
      </c>
      <c r="I32" s="13">
        <v>48.5</v>
      </c>
      <c r="J32" s="13">
        <v>6790</v>
      </c>
      <c r="K32" s="14">
        <v>44896</v>
      </c>
      <c r="L32" s="14" t="s">
        <v>131</v>
      </c>
      <c r="M32" s="13">
        <v>333</v>
      </c>
      <c r="N32" s="13">
        <v>2.2000000000000002</v>
      </c>
      <c r="O32" s="41">
        <v>2.2000000000000002</v>
      </c>
      <c r="P32" s="13">
        <v>43.5</v>
      </c>
      <c r="Q32" s="13">
        <v>14485.5</v>
      </c>
    </row>
    <row r="33" spans="1:21" x14ac:dyDescent="0.35">
      <c r="A33" s="13">
        <v>36</v>
      </c>
      <c r="B33" s="13">
        <v>16</v>
      </c>
      <c r="C33" s="13" t="s">
        <v>19</v>
      </c>
      <c r="D33" s="13" t="s">
        <v>130</v>
      </c>
      <c r="E33" s="14">
        <v>44881</v>
      </c>
      <c r="F33" s="13">
        <v>126</v>
      </c>
      <c r="G33" s="13">
        <v>1.9</v>
      </c>
      <c r="H33" s="13">
        <v>2.5</v>
      </c>
      <c r="I33" s="13">
        <v>48.5</v>
      </c>
      <c r="J33" s="13">
        <v>6111</v>
      </c>
      <c r="K33" s="14">
        <v>44896</v>
      </c>
      <c r="L33" s="14" t="s">
        <v>131</v>
      </c>
      <c r="M33" s="13">
        <v>226</v>
      </c>
      <c r="N33" s="13">
        <v>2.2000000000000002</v>
      </c>
      <c r="O33" s="41">
        <v>2.1</v>
      </c>
      <c r="P33" s="13">
        <v>43.5</v>
      </c>
      <c r="Q33" s="13">
        <v>9831</v>
      </c>
    </row>
    <row r="34" spans="1:21" x14ac:dyDescent="0.35">
      <c r="A34" s="13">
        <v>37</v>
      </c>
      <c r="B34" s="13">
        <v>16</v>
      </c>
      <c r="C34" s="13" t="s">
        <v>31</v>
      </c>
      <c r="D34" s="13" t="s">
        <v>130</v>
      </c>
      <c r="E34" s="14">
        <v>44881</v>
      </c>
      <c r="F34" s="13">
        <v>216</v>
      </c>
      <c r="G34" s="13">
        <v>1.9</v>
      </c>
      <c r="H34" s="13">
        <v>1.9</v>
      </c>
      <c r="I34" s="13">
        <v>48.5</v>
      </c>
      <c r="J34" s="13">
        <v>10476</v>
      </c>
      <c r="K34" s="14">
        <v>44896</v>
      </c>
      <c r="L34" s="14" t="s">
        <v>131</v>
      </c>
      <c r="M34" s="13">
        <v>585</v>
      </c>
      <c r="N34" s="13">
        <v>2.2000000000000002</v>
      </c>
      <c r="O34" s="41">
        <v>2.2000000000000002</v>
      </c>
      <c r="P34" s="13">
        <v>43.5</v>
      </c>
      <c r="Q34" s="13">
        <v>25447.5</v>
      </c>
      <c r="U34" t="s">
        <v>69</v>
      </c>
    </row>
    <row r="35" spans="1:21" x14ac:dyDescent="0.35">
      <c r="A35" s="13">
        <v>38</v>
      </c>
      <c r="B35" s="13">
        <v>15</v>
      </c>
      <c r="C35" s="13" t="s">
        <v>31</v>
      </c>
      <c r="D35" s="13" t="s">
        <v>130</v>
      </c>
      <c r="E35" s="14">
        <v>44881</v>
      </c>
      <c r="F35" s="13">
        <v>178</v>
      </c>
      <c r="G35" s="13">
        <v>1.9</v>
      </c>
      <c r="H35" s="13">
        <v>0.2</v>
      </c>
      <c r="I35" s="13">
        <v>48.5</v>
      </c>
      <c r="J35" s="13">
        <v>8633</v>
      </c>
      <c r="K35" s="14">
        <v>44896</v>
      </c>
      <c r="L35" s="14" t="s">
        <v>131</v>
      </c>
      <c r="M35" s="13">
        <v>496</v>
      </c>
      <c r="N35" s="13">
        <v>2.2000000000000002</v>
      </c>
      <c r="O35" s="41">
        <v>2.2999999999999998</v>
      </c>
      <c r="P35" s="13">
        <v>43.5</v>
      </c>
      <c r="Q35" s="13">
        <v>21576</v>
      </c>
    </row>
    <row r="36" spans="1:21" x14ac:dyDescent="0.35">
      <c r="A36" s="13">
        <v>39</v>
      </c>
      <c r="B36" s="13">
        <v>15</v>
      </c>
      <c r="C36" s="13" t="s">
        <v>31</v>
      </c>
      <c r="D36" s="13" t="s">
        <v>130</v>
      </c>
      <c r="E36" s="14">
        <v>44881</v>
      </c>
      <c r="F36" s="13">
        <v>208</v>
      </c>
      <c r="G36" s="13">
        <v>1.9</v>
      </c>
      <c r="H36" s="13">
        <v>2.7</v>
      </c>
      <c r="I36" s="13">
        <v>48.5</v>
      </c>
      <c r="J36" s="13">
        <v>10088</v>
      </c>
      <c r="K36" s="14">
        <v>44896</v>
      </c>
      <c r="L36" s="14" t="s">
        <v>131</v>
      </c>
      <c r="M36" s="13">
        <v>634</v>
      </c>
      <c r="N36" s="13">
        <v>2.2000000000000002</v>
      </c>
      <c r="O36" s="41">
        <v>2.2000000000000002</v>
      </c>
      <c r="P36" s="13">
        <v>43.5</v>
      </c>
      <c r="Q36" s="13">
        <v>27579</v>
      </c>
    </row>
    <row r="37" spans="1:21" s="42" customFormat="1" x14ac:dyDescent="0.35">
      <c r="A37" s="13">
        <v>40</v>
      </c>
      <c r="B37" s="13">
        <v>14</v>
      </c>
      <c r="C37" s="13" t="s">
        <v>19</v>
      </c>
      <c r="D37" s="13" t="s">
        <v>130</v>
      </c>
      <c r="E37" s="14">
        <v>44881</v>
      </c>
      <c r="F37" s="13">
        <v>90</v>
      </c>
      <c r="G37" s="13">
        <v>1.9</v>
      </c>
      <c r="H37" s="13">
        <v>2.1</v>
      </c>
      <c r="I37" s="13">
        <v>48.5</v>
      </c>
      <c r="J37" s="13">
        <v>4365</v>
      </c>
      <c r="K37" s="14">
        <v>44896</v>
      </c>
      <c r="L37" s="14" t="s">
        <v>131</v>
      </c>
      <c r="M37" s="13">
        <v>127</v>
      </c>
      <c r="N37" s="13">
        <v>2.2000000000000002</v>
      </c>
      <c r="O37" s="41">
        <v>1.8</v>
      </c>
      <c r="P37" s="13">
        <v>43.5</v>
      </c>
      <c r="Q37" s="13">
        <v>5524.5</v>
      </c>
    </row>
    <row r="38" spans="1:21" x14ac:dyDescent="0.35">
      <c r="A38" s="13">
        <v>41</v>
      </c>
      <c r="B38" s="13">
        <v>14</v>
      </c>
      <c r="C38" s="13" t="s">
        <v>19</v>
      </c>
      <c r="D38" s="13" t="s">
        <v>130</v>
      </c>
      <c r="E38" s="14">
        <v>44881</v>
      </c>
      <c r="F38" s="13">
        <v>46</v>
      </c>
      <c r="G38" s="13">
        <v>1.9</v>
      </c>
      <c r="H38" s="13">
        <v>4</v>
      </c>
      <c r="I38" s="13">
        <v>48.5</v>
      </c>
      <c r="J38" s="13">
        <v>2231</v>
      </c>
      <c r="K38" s="14">
        <v>44896</v>
      </c>
      <c r="L38" s="14" t="s">
        <v>131</v>
      </c>
      <c r="M38" s="13">
        <v>105</v>
      </c>
      <c r="N38" s="13">
        <v>2.2000000000000002</v>
      </c>
      <c r="O38" s="41">
        <v>1.6</v>
      </c>
      <c r="P38" s="13">
        <v>43.5</v>
      </c>
      <c r="Q38" s="13">
        <v>4567.5</v>
      </c>
    </row>
    <row r="39" spans="1:21" s="13" customFormat="1" x14ac:dyDescent="0.35">
      <c r="A39" s="13">
        <v>42</v>
      </c>
      <c r="B39" s="13">
        <v>16</v>
      </c>
      <c r="C39" s="13" t="s">
        <v>31</v>
      </c>
      <c r="D39" s="13" t="s">
        <v>130</v>
      </c>
      <c r="E39" s="14">
        <v>44881</v>
      </c>
      <c r="F39" s="13">
        <v>160</v>
      </c>
      <c r="G39" s="13">
        <v>1.9</v>
      </c>
      <c r="H39" s="13">
        <v>3</v>
      </c>
      <c r="I39" s="13">
        <v>48.5</v>
      </c>
      <c r="J39" s="13">
        <v>7760</v>
      </c>
      <c r="K39" s="14">
        <v>44896</v>
      </c>
      <c r="L39" s="14" t="s">
        <v>131</v>
      </c>
      <c r="M39" s="13">
        <v>528</v>
      </c>
      <c r="N39" s="13">
        <v>2.2000000000000002</v>
      </c>
      <c r="O39" s="41">
        <v>2.2000000000000002</v>
      </c>
      <c r="P39" s="13">
        <v>43.5</v>
      </c>
      <c r="Q39" s="13">
        <v>22968</v>
      </c>
    </row>
    <row r="40" spans="1:21" s="13" customFormat="1" x14ac:dyDescent="0.35">
      <c r="A40" s="13">
        <v>43</v>
      </c>
      <c r="B40" s="13">
        <v>16</v>
      </c>
      <c r="C40" s="13" t="s">
        <v>19</v>
      </c>
      <c r="D40" s="13" t="s">
        <v>130</v>
      </c>
      <c r="E40" s="14">
        <v>44881</v>
      </c>
      <c r="F40" s="13">
        <v>67</v>
      </c>
      <c r="G40" s="13">
        <v>1.9</v>
      </c>
      <c r="H40" s="13">
        <v>4.0999999999999996</v>
      </c>
      <c r="I40" s="13">
        <v>48.5</v>
      </c>
      <c r="J40" s="13">
        <v>3249.5</v>
      </c>
      <c r="K40" s="14">
        <v>44896</v>
      </c>
      <c r="L40" s="14" t="s">
        <v>131</v>
      </c>
      <c r="M40" s="13">
        <v>107</v>
      </c>
      <c r="N40" s="13">
        <v>2.2000000000000002</v>
      </c>
      <c r="O40" s="41">
        <v>1.9</v>
      </c>
      <c r="P40" s="13">
        <v>43.5</v>
      </c>
      <c r="Q40" s="13">
        <v>4654.5</v>
      </c>
    </row>
    <row r="41" spans="1:21" s="13" customFormat="1" x14ac:dyDescent="0.35">
      <c r="A41" s="13">
        <v>44</v>
      </c>
      <c r="B41" s="13">
        <v>15</v>
      </c>
      <c r="C41" s="13" t="s">
        <v>31</v>
      </c>
      <c r="D41" s="13" t="s">
        <v>130</v>
      </c>
      <c r="E41" s="14">
        <v>44881</v>
      </c>
      <c r="F41" s="13">
        <v>123</v>
      </c>
      <c r="G41" s="13">
        <v>1.9</v>
      </c>
      <c r="H41" s="13">
        <v>2.9</v>
      </c>
      <c r="I41" s="13">
        <v>48.5</v>
      </c>
      <c r="J41" s="13">
        <v>5965.5</v>
      </c>
      <c r="K41" s="14">
        <v>44896</v>
      </c>
      <c r="L41" s="14" t="s">
        <v>131</v>
      </c>
      <c r="M41" s="13">
        <v>373</v>
      </c>
      <c r="N41" s="13">
        <v>2.2000000000000002</v>
      </c>
      <c r="O41" s="41">
        <v>2.2000000000000002</v>
      </c>
      <c r="P41" s="13">
        <v>43.5</v>
      </c>
      <c r="Q41" s="13">
        <v>16225.5</v>
      </c>
    </row>
    <row r="42" spans="1:21" x14ac:dyDescent="0.35">
      <c r="A42" s="13">
        <v>46</v>
      </c>
      <c r="B42" s="13">
        <v>14</v>
      </c>
      <c r="C42" s="13" t="s">
        <v>19</v>
      </c>
      <c r="D42" s="13" t="s">
        <v>130</v>
      </c>
      <c r="E42" s="14">
        <v>44881</v>
      </c>
      <c r="F42" s="13">
        <v>89</v>
      </c>
      <c r="G42" s="13">
        <v>1.9</v>
      </c>
      <c r="H42" s="13">
        <v>0.4</v>
      </c>
      <c r="I42" s="13">
        <v>48.5</v>
      </c>
      <c r="J42" s="13">
        <v>4316.5</v>
      </c>
      <c r="K42" s="14">
        <v>44896</v>
      </c>
      <c r="L42" s="14" t="s">
        <v>131</v>
      </c>
      <c r="M42" s="13">
        <v>177</v>
      </c>
      <c r="N42" s="13">
        <v>2.2000000000000002</v>
      </c>
      <c r="O42" s="41">
        <v>2.2000000000000002</v>
      </c>
      <c r="P42" s="13">
        <v>43.5</v>
      </c>
      <c r="Q42" s="13">
        <v>7699.5</v>
      </c>
    </row>
    <row r="43" spans="1:21" x14ac:dyDescent="0.35">
      <c r="A43" s="13">
        <v>47</v>
      </c>
      <c r="B43" s="13">
        <v>14</v>
      </c>
      <c r="C43" s="13" t="s">
        <v>31</v>
      </c>
      <c r="D43" s="13" t="s">
        <v>130</v>
      </c>
      <c r="E43" s="14">
        <v>44881</v>
      </c>
      <c r="F43" s="13">
        <v>70</v>
      </c>
      <c r="G43" s="13">
        <v>1.9</v>
      </c>
      <c r="H43" s="13">
        <v>4.5999999999999996</v>
      </c>
      <c r="I43" s="13">
        <v>48.5</v>
      </c>
      <c r="J43" s="13">
        <v>3395</v>
      </c>
      <c r="K43" s="14">
        <v>44896</v>
      </c>
      <c r="L43" s="14" t="s">
        <v>131</v>
      </c>
      <c r="M43" s="13">
        <v>117</v>
      </c>
      <c r="N43" s="13">
        <v>2.2000000000000002</v>
      </c>
      <c r="O43" s="41">
        <v>2.1</v>
      </c>
      <c r="P43" s="13">
        <v>43.5</v>
      </c>
      <c r="Q43" s="13">
        <v>5089.5</v>
      </c>
    </row>
    <row r="44" spans="1:21" s="13" customFormat="1" x14ac:dyDescent="0.35">
      <c r="A44" s="13">
        <v>49</v>
      </c>
      <c r="B44" s="13">
        <v>16</v>
      </c>
      <c r="C44" s="13" t="s">
        <v>19</v>
      </c>
      <c r="D44" s="2" t="s">
        <v>131</v>
      </c>
      <c r="E44" s="2">
        <v>44902</v>
      </c>
      <c r="F44" s="13">
        <v>56</v>
      </c>
      <c r="G44" s="13">
        <v>1.9</v>
      </c>
      <c r="H44" s="13">
        <v>2.1</v>
      </c>
      <c r="I44" s="13">
        <v>48.5</v>
      </c>
      <c r="J44" s="13">
        <v>2716</v>
      </c>
      <c r="K44" s="2">
        <v>44908</v>
      </c>
      <c r="L44" s="2" t="s">
        <v>131</v>
      </c>
      <c r="M44" s="13">
        <v>186</v>
      </c>
      <c r="N44" s="13">
        <v>2.1</v>
      </c>
      <c r="O44" s="16">
        <v>1.9</v>
      </c>
      <c r="P44" s="13">
        <v>43.5</v>
      </c>
      <c r="Q44" s="13">
        <v>8091</v>
      </c>
    </row>
    <row r="45" spans="1:21" s="13" customFormat="1" x14ac:dyDescent="0.35">
      <c r="A45" s="13">
        <v>50</v>
      </c>
      <c r="B45" s="13">
        <v>14</v>
      </c>
      <c r="C45" s="13" t="s">
        <v>31</v>
      </c>
      <c r="D45" s="2" t="s">
        <v>131</v>
      </c>
      <c r="E45" s="2">
        <v>44902</v>
      </c>
      <c r="F45" s="13">
        <v>132</v>
      </c>
      <c r="G45" s="13">
        <v>1.9</v>
      </c>
      <c r="H45" s="13">
        <v>2</v>
      </c>
      <c r="I45" s="13">
        <v>48.5</v>
      </c>
      <c r="J45" s="13">
        <v>6402</v>
      </c>
      <c r="K45" s="2">
        <v>44908</v>
      </c>
      <c r="L45" s="2" t="s">
        <v>131</v>
      </c>
      <c r="M45" s="13">
        <v>581</v>
      </c>
      <c r="N45" s="13">
        <v>2.2000000000000002</v>
      </c>
      <c r="O45" s="16">
        <v>2.1</v>
      </c>
      <c r="P45" s="13">
        <v>43.5</v>
      </c>
      <c r="Q45" s="13">
        <v>25273.5</v>
      </c>
    </row>
    <row r="46" spans="1:21" x14ac:dyDescent="0.35">
      <c r="A46">
        <v>51</v>
      </c>
      <c r="B46">
        <v>14</v>
      </c>
      <c r="C46" t="s">
        <v>31</v>
      </c>
      <c r="D46" s="2" t="s">
        <v>131</v>
      </c>
      <c r="E46" s="2">
        <v>44902</v>
      </c>
      <c r="F46">
        <v>66</v>
      </c>
      <c r="G46">
        <v>1.8</v>
      </c>
      <c r="H46">
        <v>2</v>
      </c>
      <c r="I46">
        <v>48.5</v>
      </c>
      <c r="J46">
        <v>3201</v>
      </c>
      <c r="K46" s="2">
        <v>44908</v>
      </c>
      <c r="L46" s="2" t="s">
        <v>131</v>
      </c>
      <c r="M46">
        <v>617</v>
      </c>
      <c r="N46">
        <v>2.2000000000000002</v>
      </c>
      <c r="O46" s="16">
        <v>2.2000000000000002</v>
      </c>
      <c r="P46">
        <v>43.5</v>
      </c>
      <c r="Q46">
        <v>26839.5</v>
      </c>
    </row>
    <row r="47" spans="1:21" x14ac:dyDescent="0.35">
      <c r="A47">
        <v>52</v>
      </c>
      <c r="B47">
        <v>16</v>
      </c>
      <c r="C47" t="s">
        <v>31</v>
      </c>
      <c r="D47" s="2" t="s">
        <v>131</v>
      </c>
      <c r="E47" s="2">
        <v>44902</v>
      </c>
      <c r="F47">
        <v>261</v>
      </c>
      <c r="G47">
        <v>20</v>
      </c>
      <c r="H47">
        <v>2.2999999999999998</v>
      </c>
      <c r="I47">
        <v>48.5</v>
      </c>
      <c r="J47">
        <v>12658.5</v>
      </c>
      <c r="K47" s="2">
        <v>44908</v>
      </c>
      <c r="L47" s="2" t="s">
        <v>131</v>
      </c>
      <c r="M47">
        <v>0</v>
      </c>
      <c r="N47">
        <v>0</v>
      </c>
      <c r="O47" s="16">
        <v>0</v>
      </c>
      <c r="P47">
        <v>43.5</v>
      </c>
      <c r="Q47">
        <v>0</v>
      </c>
    </row>
    <row r="48" spans="1:21" x14ac:dyDescent="0.35">
      <c r="A48">
        <v>53</v>
      </c>
      <c r="B48">
        <v>16</v>
      </c>
      <c r="C48" t="s">
        <v>19</v>
      </c>
      <c r="D48" s="2" t="s">
        <v>131</v>
      </c>
      <c r="E48" s="2">
        <v>44902</v>
      </c>
      <c r="F48">
        <v>117</v>
      </c>
      <c r="G48">
        <v>1.9</v>
      </c>
      <c r="H48">
        <v>2.2999999999999998</v>
      </c>
      <c r="I48">
        <v>48.5</v>
      </c>
      <c r="J48">
        <v>5674.5</v>
      </c>
      <c r="K48" s="2">
        <v>44908</v>
      </c>
      <c r="L48" s="2" t="s">
        <v>131</v>
      </c>
      <c r="M48">
        <v>0</v>
      </c>
      <c r="N48">
        <v>0</v>
      </c>
      <c r="O48" s="16">
        <v>0</v>
      </c>
      <c r="P48">
        <v>43.5</v>
      </c>
      <c r="Q48">
        <v>0</v>
      </c>
    </row>
    <row r="49" spans="1:17" x14ac:dyDescent="0.35">
      <c r="A49" s="13">
        <v>54</v>
      </c>
      <c r="B49" s="13">
        <v>14</v>
      </c>
      <c r="C49" s="13" t="s">
        <v>19</v>
      </c>
      <c r="D49" s="14" t="s">
        <v>131</v>
      </c>
      <c r="E49" s="14">
        <v>44902</v>
      </c>
      <c r="F49" s="13">
        <v>63</v>
      </c>
      <c r="G49" s="13">
        <v>1.9</v>
      </c>
      <c r="H49" s="13">
        <v>0.2</v>
      </c>
      <c r="I49" s="13">
        <v>48.5</v>
      </c>
      <c r="J49" s="13">
        <v>3055.5</v>
      </c>
      <c r="K49" s="14">
        <v>44908</v>
      </c>
      <c r="L49" s="14" t="s">
        <v>131</v>
      </c>
      <c r="M49" s="13">
        <v>153</v>
      </c>
      <c r="N49" s="13">
        <v>2.2000000000000002</v>
      </c>
      <c r="O49" s="41">
        <v>2.1</v>
      </c>
      <c r="P49" s="13">
        <v>43.5</v>
      </c>
      <c r="Q49" s="13">
        <v>6655.5</v>
      </c>
    </row>
    <row r="50" spans="1:17" x14ac:dyDescent="0.35">
      <c r="A50">
        <v>56</v>
      </c>
      <c r="B50">
        <v>14</v>
      </c>
      <c r="C50" t="s">
        <v>31</v>
      </c>
      <c r="D50" s="2" t="s">
        <v>131</v>
      </c>
      <c r="E50" s="2">
        <v>44902</v>
      </c>
      <c r="F50">
        <v>129</v>
      </c>
      <c r="G50">
        <v>2</v>
      </c>
      <c r="H50">
        <v>2.2999999999999998</v>
      </c>
      <c r="I50">
        <v>48.5</v>
      </c>
      <c r="J50">
        <v>6256.5</v>
      </c>
      <c r="K50" s="2">
        <v>44908</v>
      </c>
      <c r="L50" s="2" t="s">
        <v>131</v>
      </c>
      <c r="M50">
        <v>329</v>
      </c>
      <c r="N50">
        <v>2.2000000000000002</v>
      </c>
      <c r="O50" s="16">
        <v>1.7</v>
      </c>
      <c r="P50">
        <v>43.5</v>
      </c>
      <c r="Q50">
        <v>14311.5</v>
      </c>
    </row>
    <row r="51" spans="1:17" x14ac:dyDescent="0.35">
      <c r="A51">
        <v>59</v>
      </c>
      <c r="B51">
        <v>10</v>
      </c>
      <c r="C51" t="s">
        <v>19</v>
      </c>
      <c r="D51" s="2" t="s">
        <v>131</v>
      </c>
      <c r="E51" s="2">
        <v>44902</v>
      </c>
      <c r="F51">
        <v>54</v>
      </c>
      <c r="G51">
        <v>1.9</v>
      </c>
      <c r="H51">
        <v>2.1</v>
      </c>
      <c r="I51">
        <v>48.5</v>
      </c>
      <c r="J51">
        <v>2619</v>
      </c>
      <c r="K51" s="2">
        <v>44908</v>
      </c>
      <c r="L51" s="2" t="s">
        <v>131</v>
      </c>
      <c r="M51">
        <v>138</v>
      </c>
      <c r="N51">
        <v>2.2000000000000002</v>
      </c>
      <c r="O51" s="16">
        <v>2.1</v>
      </c>
      <c r="P51">
        <v>43.5</v>
      </c>
      <c r="Q51">
        <v>6003</v>
      </c>
    </row>
    <row r="52" spans="1:17" x14ac:dyDescent="0.35">
      <c r="A52" s="13">
        <v>60</v>
      </c>
      <c r="B52" s="13">
        <v>10</v>
      </c>
      <c r="C52" s="13" t="s">
        <v>31</v>
      </c>
      <c r="D52" s="14" t="s">
        <v>131</v>
      </c>
      <c r="E52" s="14">
        <v>44902</v>
      </c>
      <c r="F52" s="13">
        <v>70</v>
      </c>
      <c r="G52" s="13">
        <v>1.9</v>
      </c>
      <c r="H52" s="13">
        <v>1.2</v>
      </c>
      <c r="I52" s="13">
        <v>48.5</v>
      </c>
      <c r="J52" s="13">
        <v>3395</v>
      </c>
      <c r="K52" s="14">
        <v>44908</v>
      </c>
      <c r="L52" s="14" t="s">
        <v>131</v>
      </c>
      <c r="M52" s="13">
        <v>480</v>
      </c>
      <c r="N52" s="13">
        <v>2.2000000000000002</v>
      </c>
      <c r="O52" s="41">
        <v>2.1</v>
      </c>
      <c r="P52" s="13">
        <v>43.5</v>
      </c>
      <c r="Q52" s="13">
        <v>20880</v>
      </c>
    </row>
    <row r="53" spans="1:17" x14ac:dyDescent="0.35">
      <c r="A53" s="13">
        <v>61</v>
      </c>
      <c r="B53" s="13">
        <v>9</v>
      </c>
      <c r="C53" s="13" t="s">
        <v>19</v>
      </c>
      <c r="D53" s="14" t="s">
        <v>131</v>
      </c>
      <c r="E53" s="14">
        <v>44902</v>
      </c>
      <c r="F53" s="13">
        <v>113</v>
      </c>
      <c r="G53" s="13">
        <v>1.9</v>
      </c>
      <c r="H53" s="13">
        <v>1.3</v>
      </c>
      <c r="I53" s="13">
        <v>48.5</v>
      </c>
      <c r="J53" s="13">
        <v>5480.5</v>
      </c>
      <c r="K53" s="14">
        <v>44908</v>
      </c>
      <c r="L53" s="14" t="s">
        <v>131</v>
      </c>
      <c r="M53" s="13">
        <v>247</v>
      </c>
      <c r="N53" s="13">
        <v>2.2000000000000002</v>
      </c>
      <c r="O53" s="41">
        <v>2.2000000000000002</v>
      </c>
      <c r="P53" s="13">
        <v>43.5</v>
      </c>
      <c r="Q53" s="13">
        <v>10744.5</v>
      </c>
    </row>
    <row r="54" spans="1:17" s="13" customFormat="1" x14ac:dyDescent="0.35">
      <c r="A54" s="13">
        <v>65</v>
      </c>
      <c r="B54" s="13">
        <v>10</v>
      </c>
      <c r="C54" s="13" t="s">
        <v>19</v>
      </c>
      <c r="D54" s="2" t="s">
        <v>131</v>
      </c>
      <c r="E54" s="2">
        <v>44902</v>
      </c>
      <c r="F54" s="13">
        <v>89</v>
      </c>
      <c r="G54" s="13">
        <v>1.9</v>
      </c>
      <c r="H54" s="13">
        <v>2.2000000000000002</v>
      </c>
      <c r="I54" s="13">
        <v>48.5</v>
      </c>
      <c r="J54" s="13">
        <v>4316.5</v>
      </c>
      <c r="K54" s="2">
        <v>44908</v>
      </c>
      <c r="L54" s="2" t="s">
        <v>131</v>
      </c>
      <c r="M54" s="13">
        <v>287</v>
      </c>
      <c r="N54" s="13">
        <v>2.2000000000000002</v>
      </c>
      <c r="O54" s="16">
        <v>2.1</v>
      </c>
      <c r="P54" s="13">
        <v>43.5</v>
      </c>
      <c r="Q54" s="13">
        <v>12484.5</v>
      </c>
    </row>
    <row r="55" spans="1:17" s="13" customFormat="1" x14ac:dyDescent="0.35">
      <c r="A55" s="13">
        <v>68</v>
      </c>
      <c r="B55" s="13">
        <v>9</v>
      </c>
      <c r="C55" s="13" t="s">
        <v>31</v>
      </c>
      <c r="D55" s="2" t="s">
        <v>131</v>
      </c>
      <c r="E55" s="2">
        <v>44902</v>
      </c>
      <c r="F55" s="13">
        <v>516</v>
      </c>
      <c r="G55" s="13">
        <v>2.1</v>
      </c>
      <c r="H55" s="13">
        <v>2.2999999999999998</v>
      </c>
      <c r="I55" s="13">
        <v>48.5</v>
      </c>
      <c r="J55" s="13">
        <v>25026</v>
      </c>
      <c r="K55" s="2">
        <v>44908</v>
      </c>
      <c r="L55" s="2" t="s">
        <v>131</v>
      </c>
      <c r="M55" s="13">
        <v>716</v>
      </c>
      <c r="N55" s="13">
        <v>2.2000000000000002</v>
      </c>
      <c r="O55" s="16">
        <v>2.2999999999999998</v>
      </c>
      <c r="P55" s="13">
        <v>43.5</v>
      </c>
      <c r="Q55" s="13">
        <v>31146</v>
      </c>
    </row>
    <row r="56" spans="1:17" x14ac:dyDescent="0.35">
      <c r="A56" s="13">
        <v>70</v>
      </c>
      <c r="B56" s="13">
        <v>10</v>
      </c>
      <c r="C56" s="13" t="s">
        <v>31</v>
      </c>
      <c r="D56" s="14" t="s">
        <v>131</v>
      </c>
      <c r="E56" s="14">
        <v>44902</v>
      </c>
      <c r="F56" s="13">
        <v>41</v>
      </c>
      <c r="G56" s="13">
        <v>1.9</v>
      </c>
      <c r="H56" s="13">
        <v>1.7</v>
      </c>
      <c r="I56" s="13">
        <v>48.5</v>
      </c>
      <c r="J56" s="13">
        <v>1988.5</v>
      </c>
      <c r="K56" s="14">
        <v>44908</v>
      </c>
      <c r="L56" s="14" t="s">
        <v>131</v>
      </c>
      <c r="M56" s="13">
        <v>363</v>
      </c>
      <c r="N56" s="13">
        <v>2.2000000000000002</v>
      </c>
      <c r="O56" s="41">
        <v>2.1</v>
      </c>
      <c r="P56" s="13">
        <v>43.5</v>
      </c>
      <c r="Q56" s="13">
        <v>15790.5</v>
      </c>
    </row>
    <row r="57" spans="1:17" s="42" customFormat="1" x14ac:dyDescent="0.35">
      <c r="A57" s="42">
        <v>71</v>
      </c>
      <c r="B57" s="42">
        <v>10</v>
      </c>
      <c r="C57" s="42" t="s">
        <v>19</v>
      </c>
      <c r="D57" s="45" t="s">
        <v>131</v>
      </c>
      <c r="E57" s="45">
        <v>44902</v>
      </c>
      <c r="F57" s="42">
        <v>86</v>
      </c>
      <c r="G57" s="42">
        <v>1.9</v>
      </c>
      <c r="H57" s="42">
        <v>2</v>
      </c>
      <c r="I57" s="42">
        <v>48.5</v>
      </c>
      <c r="J57" s="42">
        <v>4171</v>
      </c>
      <c r="K57" s="45">
        <v>44908</v>
      </c>
      <c r="L57" s="45" t="s">
        <v>131</v>
      </c>
      <c r="M57" s="42">
        <v>355</v>
      </c>
      <c r="N57" s="42">
        <v>2.2000000000000002</v>
      </c>
      <c r="O57" s="46">
        <v>2.2000000000000002</v>
      </c>
      <c r="P57" s="42">
        <v>43.5</v>
      </c>
      <c r="Q57" s="42">
        <v>15442.5</v>
      </c>
    </row>
    <row r="58" spans="1:17" s="13" customFormat="1" x14ac:dyDescent="0.35">
      <c r="A58" s="13">
        <v>72</v>
      </c>
      <c r="B58" s="13">
        <v>9</v>
      </c>
      <c r="C58" s="13" t="s">
        <v>19</v>
      </c>
      <c r="D58" s="2" t="s">
        <v>131</v>
      </c>
      <c r="E58" s="2">
        <v>44902</v>
      </c>
      <c r="F58" s="13">
        <v>54</v>
      </c>
      <c r="G58" s="13">
        <v>1.9</v>
      </c>
      <c r="H58" s="13">
        <v>2.1</v>
      </c>
      <c r="I58" s="13">
        <v>48.5</v>
      </c>
      <c r="J58" s="13">
        <v>2619</v>
      </c>
      <c r="K58" s="2">
        <v>44908</v>
      </c>
      <c r="L58" s="2" t="s">
        <v>131</v>
      </c>
      <c r="M58" s="13">
        <v>149</v>
      </c>
      <c r="N58" s="13">
        <v>2.2000000000000002</v>
      </c>
      <c r="O58" s="16">
        <v>1.6</v>
      </c>
      <c r="P58" s="13">
        <v>43.5</v>
      </c>
      <c r="Q58" s="13">
        <v>6481.5</v>
      </c>
    </row>
    <row r="59" spans="1:17" x14ac:dyDescent="0.35">
      <c r="A59" s="13">
        <v>73</v>
      </c>
      <c r="B59" s="13">
        <v>9</v>
      </c>
      <c r="C59" s="13" t="s">
        <v>31</v>
      </c>
      <c r="D59" s="14" t="s">
        <v>131</v>
      </c>
      <c r="E59" s="14">
        <v>44902</v>
      </c>
      <c r="F59" s="13">
        <v>150</v>
      </c>
      <c r="G59" s="13">
        <v>2</v>
      </c>
      <c r="H59" s="13">
        <v>1</v>
      </c>
      <c r="I59" s="13">
        <v>48.5</v>
      </c>
      <c r="J59" s="13">
        <v>7275</v>
      </c>
      <c r="K59" s="14">
        <v>44910</v>
      </c>
      <c r="L59" s="14" t="s">
        <v>131</v>
      </c>
      <c r="M59" s="13">
        <v>521</v>
      </c>
      <c r="N59" s="13">
        <v>2.2000000000000002</v>
      </c>
      <c r="O59" s="41">
        <v>2.2000000000000002</v>
      </c>
      <c r="P59" s="13">
        <v>43.5</v>
      </c>
      <c r="Q59" s="13">
        <v>22663.5</v>
      </c>
    </row>
    <row r="60" spans="1:17" x14ac:dyDescent="0.35">
      <c r="A60">
        <v>74</v>
      </c>
      <c r="B60">
        <v>9</v>
      </c>
      <c r="C60" t="s">
        <v>19</v>
      </c>
      <c r="D60" s="2" t="s">
        <v>131</v>
      </c>
      <c r="E60" s="2">
        <v>44902</v>
      </c>
      <c r="F60">
        <v>73</v>
      </c>
      <c r="G60">
        <v>1.9</v>
      </c>
      <c r="H60">
        <v>1.9</v>
      </c>
      <c r="I60">
        <v>48.5</v>
      </c>
      <c r="J60">
        <v>3540.5</v>
      </c>
      <c r="K60" s="2">
        <v>44910</v>
      </c>
      <c r="L60" s="2" t="s">
        <v>131</v>
      </c>
      <c r="M60">
        <v>112</v>
      </c>
      <c r="N60">
        <v>2.1</v>
      </c>
      <c r="O60" s="16">
        <v>1.9</v>
      </c>
      <c r="P60">
        <v>43.5</v>
      </c>
      <c r="Q60">
        <v>4872</v>
      </c>
    </row>
    <row r="61" spans="1:17" x14ac:dyDescent="0.35">
      <c r="A61" s="13">
        <v>75</v>
      </c>
      <c r="B61" s="13">
        <v>9</v>
      </c>
      <c r="C61" s="13" t="s">
        <v>31</v>
      </c>
      <c r="D61" s="14" t="s">
        <v>131</v>
      </c>
      <c r="E61" s="14">
        <v>44902</v>
      </c>
      <c r="F61" s="13">
        <v>109</v>
      </c>
      <c r="G61" s="13">
        <v>1.9</v>
      </c>
      <c r="H61" s="13">
        <v>1.7</v>
      </c>
      <c r="I61" s="13">
        <v>48.5</v>
      </c>
      <c r="J61" s="13">
        <v>5286.5</v>
      </c>
      <c r="K61" s="14">
        <v>44910</v>
      </c>
      <c r="L61" s="14" t="s">
        <v>131</v>
      </c>
      <c r="M61" s="13">
        <v>643</v>
      </c>
      <c r="N61" s="13">
        <v>2.2000000000000002</v>
      </c>
      <c r="O61" s="41">
        <v>2.1</v>
      </c>
      <c r="P61" s="13">
        <v>43.5</v>
      </c>
      <c r="Q61" s="13">
        <v>27970.5</v>
      </c>
    </row>
    <row r="62" spans="1:17" x14ac:dyDescent="0.35">
      <c r="A62">
        <v>76</v>
      </c>
      <c r="B62">
        <v>8</v>
      </c>
      <c r="C62" t="s">
        <v>31</v>
      </c>
      <c r="D62" s="2" t="s">
        <v>131</v>
      </c>
      <c r="E62" s="2">
        <v>44902</v>
      </c>
      <c r="F62">
        <v>126</v>
      </c>
      <c r="G62">
        <v>2</v>
      </c>
      <c r="H62">
        <v>2.2999999999999998</v>
      </c>
      <c r="I62">
        <v>48.5</v>
      </c>
      <c r="J62">
        <v>6111</v>
      </c>
      <c r="K62" s="2">
        <v>44910</v>
      </c>
      <c r="L62" s="2" t="s">
        <v>131</v>
      </c>
      <c r="M62">
        <v>458</v>
      </c>
      <c r="N62">
        <v>2.2000000000000002</v>
      </c>
      <c r="O62" s="16">
        <v>2.2000000000000002</v>
      </c>
      <c r="P62">
        <v>43.5</v>
      </c>
      <c r="Q62">
        <v>19923</v>
      </c>
    </row>
    <row r="63" spans="1:17" x14ac:dyDescent="0.35">
      <c r="A63">
        <v>77</v>
      </c>
      <c r="B63">
        <v>8</v>
      </c>
      <c r="C63" t="s">
        <v>31</v>
      </c>
      <c r="D63" s="2" t="s">
        <v>131</v>
      </c>
      <c r="E63" s="2">
        <v>44902</v>
      </c>
      <c r="F63">
        <v>201</v>
      </c>
      <c r="G63">
        <v>2</v>
      </c>
      <c r="H63">
        <v>1.9</v>
      </c>
      <c r="I63">
        <v>48.5</v>
      </c>
      <c r="J63">
        <v>9748.5</v>
      </c>
      <c r="K63" s="2">
        <v>44910</v>
      </c>
      <c r="L63" s="2" t="s">
        <v>131</v>
      </c>
      <c r="M63">
        <v>592</v>
      </c>
      <c r="N63">
        <v>2.2000000000000002</v>
      </c>
      <c r="O63" s="16">
        <v>2.2000000000000002</v>
      </c>
      <c r="P63">
        <v>43.5</v>
      </c>
      <c r="Q63">
        <v>25752</v>
      </c>
    </row>
    <row r="64" spans="1:17" x14ac:dyDescent="0.35">
      <c r="A64">
        <v>78</v>
      </c>
      <c r="B64">
        <v>7</v>
      </c>
      <c r="C64" t="s">
        <v>31</v>
      </c>
      <c r="D64" s="2" t="s">
        <v>131</v>
      </c>
      <c r="E64" s="2">
        <v>44902</v>
      </c>
      <c r="F64">
        <v>181</v>
      </c>
      <c r="G64">
        <v>2</v>
      </c>
      <c r="H64">
        <v>2.2999999999999998</v>
      </c>
      <c r="I64">
        <v>48.5</v>
      </c>
      <c r="J64">
        <v>8778.5</v>
      </c>
      <c r="K64" s="2">
        <v>44910</v>
      </c>
      <c r="L64" s="2" t="s">
        <v>131</v>
      </c>
      <c r="M64">
        <v>467</v>
      </c>
      <c r="N64">
        <v>2.2000000000000002</v>
      </c>
      <c r="O64" s="16">
        <v>2.2000000000000002</v>
      </c>
      <c r="P64">
        <v>43.5</v>
      </c>
      <c r="Q64">
        <v>20314.5</v>
      </c>
    </row>
    <row r="65" spans="1:17" s="42" customFormat="1" x14ac:dyDescent="0.35">
      <c r="A65" s="42">
        <v>81</v>
      </c>
      <c r="B65" s="42">
        <v>6</v>
      </c>
      <c r="C65" s="42" t="str">
        <f>VLOOKUP(A65, Dissect!A:Q, 6)</f>
        <v>M</v>
      </c>
      <c r="D65" s="45" t="s">
        <v>131</v>
      </c>
      <c r="E65" s="45">
        <v>44902</v>
      </c>
      <c r="F65" s="42">
        <v>280</v>
      </c>
      <c r="G65" s="42">
        <v>2</v>
      </c>
      <c r="H65" s="42">
        <v>2</v>
      </c>
      <c r="I65" s="42">
        <v>48.5</v>
      </c>
      <c r="J65" s="42">
        <f>I65*F65</f>
        <v>13580</v>
      </c>
      <c r="K65" s="45">
        <v>44910</v>
      </c>
      <c r="L65" s="45" t="s">
        <v>131</v>
      </c>
      <c r="M65" s="42">
        <v>127</v>
      </c>
      <c r="N65" s="42">
        <v>2.2000000000000002</v>
      </c>
      <c r="O65" s="46">
        <v>2.1</v>
      </c>
      <c r="P65" s="42">
        <v>43.5</v>
      </c>
      <c r="Q65" s="42">
        <f>M65*P65</f>
        <v>5524.5</v>
      </c>
    </row>
    <row r="66" spans="1:17" x14ac:dyDescent="0.35">
      <c r="A66">
        <v>82</v>
      </c>
      <c r="B66">
        <v>8</v>
      </c>
      <c r="C66" t="s">
        <v>31</v>
      </c>
      <c r="D66" s="2" t="s">
        <v>131</v>
      </c>
      <c r="E66" s="2">
        <v>44902</v>
      </c>
      <c r="F66">
        <v>104</v>
      </c>
      <c r="G66">
        <v>2</v>
      </c>
      <c r="H66">
        <v>2.2999999999999998</v>
      </c>
      <c r="I66">
        <v>48.5</v>
      </c>
      <c r="J66">
        <v>5044</v>
      </c>
      <c r="K66" s="2">
        <v>44910</v>
      </c>
      <c r="L66" s="2" t="s">
        <v>131</v>
      </c>
      <c r="M66">
        <v>291</v>
      </c>
      <c r="N66">
        <v>2.2000000000000002</v>
      </c>
      <c r="O66" s="16">
        <v>2.1</v>
      </c>
      <c r="P66">
        <v>43.5</v>
      </c>
      <c r="Q66">
        <v>12658.5</v>
      </c>
    </row>
    <row r="67" spans="1:17" x14ac:dyDescent="0.35">
      <c r="A67" s="13">
        <v>83</v>
      </c>
      <c r="B67" s="13">
        <v>8</v>
      </c>
      <c r="C67" s="13" t="s">
        <v>19</v>
      </c>
      <c r="D67" s="14" t="s">
        <v>131</v>
      </c>
      <c r="E67" s="14">
        <v>44902</v>
      </c>
      <c r="F67" s="13">
        <v>20</v>
      </c>
      <c r="G67" s="13">
        <v>1.8</v>
      </c>
      <c r="H67" s="13">
        <v>1.7</v>
      </c>
      <c r="I67" s="13">
        <v>48.5</v>
      </c>
      <c r="J67" s="13">
        <v>970</v>
      </c>
      <c r="K67" s="14">
        <v>44910</v>
      </c>
      <c r="L67" s="14" t="s">
        <v>131</v>
      </c>
      <c r="M67" s="13">
        <v>51</v>
      </c>
      <c r="N67" s="13">
        <v>2.1</v>
      </c>
      <c r="O67" s="41">
        <v>1.5</v>
      </c>
      <c r="P67" s="13">
        <v>43.5</v>
      </c>
      <c r="Q67" s="13">
        <v>2218.5</v>
      </c>
    </row>
    <row r="68" spans="1:17" x14ac:dyDescent="0.35">
      <c r="A68">
        <v>85</v>
      </c>
      <c r="B68">
        <v>7</v>
      </c>
      <c r="C68" t="s">
        <v>31</v>
      </c>
      <c r="D68" s="2" t="s">
        <v>131</v>
      </c>
      <c r="E68" s="2">
        <v>44902</v>
      </c>
      <c r="F68">
        <v>104</v>
      </c>
      <c r="G68">
        <v>7.9</v>
      </c>
      <c r="H68">
        <v>2.2999999999999998</v>
      </c>
      <c r="I68">
        <v>48.5</v>
      </c>
      <c r="J68">
        <v>5044</v>
      </c>
      <c r="K68" s="2">
        <v>44910</v>
      </c>
      <c r="L68" s="2" t="s">
        <v>131</v>
      </c>
      <c r="M68">
        <v>314</v>
      </c>
      <c r="N68">
        <v>2.2000000000000002</v>
      </c>
      <c r="O68" s="16">
        <v>2.1</v>
      </c>
      <c r="P68">
        <v>43.5</v>
      </c>
      <c r="Q68">
        <v>13659</v>
      </c>
    </row>
    <row r="69" spans="1:17" x14ac:dyDescent="0.35">
      <c r="A69">
        <v>87</v>
      </c>
      <c r="B69">
        <v>6</v>
      </c>
      <c r="C69" t="s">
        <v>31</v>
      </c>
      <c r="D69" s="2" t="s">
        <v>131</v>
      </c>
      <c r="E69" s="2">
        <v>44902</v>
      </c>
      <c r="F69">
        <v>193</v>
      </c>
      <c r="G69">
        <v>2</v>
      </c>
      <c r="H69">
        <v>2.2999999999999998</v>
      </c>
      <c r="I69">
        <v>48.5</v>
      </c>
      <c r="J69">
        <v>9360.5</v>
      </c>
      <c r="K69" s="2">
        <v>44910</v>
      </c>
      <c r="L69" s="2" t="s">
        <v>131</v>
      </c>
      <c r="M69">
        <v>195</v>
      </c>
      <c r="N69">
        <v>2.2000000000000002</v>
      </c>
      <c r="O69" s="16">
        <v>2.1</v>
      </c>
      <c r="P69">
        <v>43.5</v>
      </c>
      <c r="Q69">
        <v>8482.5</v>
      </c>
    </row>
    <row r="70" spans="1:17" x14ac:dyDescent="0.35">
      <c r="A70">
        <v>88</v>
      </c>
      <c r="B70">
        <v>8</v>
      </c>
      <c r="C70" t="s">
        <v>19</v>
      </c>
      <c r="D70" s="2" t="s">
        <v>131</v>
      </c>
      <c r="E70" s="2">
        <v>44902</v>
      </c>
      <c r="F70">
        <v>70</v>
      </c>
      <c r="G70">
        <v>1.9</v>
      </c>
      <c r="H70">
        <v>2.1</v>
      </c>
      <c r="I70">
        <v>48.5</v>
      </c>
      <c r="J70">
        <v>3395</v>
      </c>
      <c r="K70" s="2">
        <v>44910</v>
      </c>
      <c r="L70" s="2" t="s">
        <v>131</v>
      </c>
      <c r="M70">
        <v>163</v>
      </c>
      <c r="N70">
        <v>2.2000000000000002</v>
      </c>
      <c r="O70" s="16">
        <v>2.2000000000000002</v>
      </c>
      <c r="P70">
        <v>43.5</v>
      </c>
      <c r="Q70">
        <v>7090.5</v>
      </c>
    </row>
    <row r="71" spans="1:17" x14ac:dyDescent="0.35">
      <c r="A71" s="13">
        <v>90</v>
      </c>
      <c r="B71" s="13">
        <v>7</v>
      </c>
      <c r="C71" s="13" t="s">
        <v>19</v>
      </c>
      <c r="D71" s="14" t="s">
        <v>131</v>
      </c>
      <c r="E71" s="14">
        <v>44902</v>
      </c>
      <c r="F71" s="13">
        <v>51</v>
      </c>
      <c r="G71" s="13">
        <v>1.9</v>
      </c>
      <c r="H71" s="13">
        <v>1.5</v>
      </c>
      <c r="I71" s="13">
        <v>48.5</v>
      </c>
      <c r="J71" s="13">
        <v>2473.5</v>
      </c>
      <c r="K71" s="14">
        <v>44910</v>
      </c>
      <c r="L71" s="14" t="s">
        <v>131</v>
      </c>
      <c r="M71" s="13">
        <v>98</v>
      </c>
      <c r="N71" s="13">
        <v>2.2000000000000002</v>
      </c>
      <c r="O71" s="41">
        <v>2</v>
      </c>
      <c r="P71" s="13">
        <v>43.5</v>
      </c>
      <c r="Q71" s="13">
        <v>4263</v>
      </c>
    </row>
    <row r="72" spans="1:17" x14ac:dyDescent="0.35">
      <c r="A72">
        <v>91</v>
      </c>
      <c r="B72">
        <v>7</v>
      </c>
      <c r="C72" t="s">
        <v>31</v>
      </c>
      <c r="D72" s="2" t="s">
        <v>131</v>
      </c>
      <c r="E72" s="2">
        <v>44902</v>
      </c>
      <c r="F72">
        <v>143</v>
      </c>
      <c r="G72">
        <v>1.9</v>
      </c>
      <c r="H72">
        <v>2.2999999999999998</v>
      </c>
      <c r="I72">
        <v>48.5</v>
      </c>
      <c r="J72">
        <v>6935.5</v>
      </c>
      <c r="K72" s="2">
        <v>44910</v>
      </c>
      <c r="L72" s="2" t="s">
        <v>131</v>
      </c>
      <c r="M72">
        <v>243</v>
      </c>
      <c r="N72">
        <v>2.2000000000000002</v>
      </c>
      <c r="O72" s="16">
        <v>1.9</v>
      </c>
      <c r="P72">
        <v>43.5</v>
      </c>
      <c r="Q72">
        <v>10570.5</v>
      </c>
    </row>
    <row r="73" spans="1:17" x14ac:dyDescent="0.35">
      <c r="A73">
        <v>94</v>
      </c>
      <c r="B73">
        <v>8</v>
      </c>
      <c r="C73" t="s">
        <v>19</v>
      </c>
      <c r="D73" s="2" t="s">
        <v>131</v>
      </c>
      <c r="E73" s="2">
        <v>44902</v>
      </c>
      <c r="F73">
        <v>111</v>
      </c>
      <c r="G73">
        <v>1.9</v>
      </c>
      <c r="H73">
        <v>2.2000000000000002</v>
      </c>
      <c r="I73">
        <v>48.5</v>
      </c>
      <c r="J73">
        <v>5383.5</v>
      </c>
      <c r="K73" s="2">
        <v>44910</v>
      </c>
      <c r="L73" s="2" t="s">
        <v>131</v>
      </c>
      <c r="M73">
        <v>180</v>
      </c>
      <c r="N73">
        <v>2.2000000000000002</v>
      </c>
      <c r="O73" s="16">
        <v>2.2000000000000002</v>
      </c>
      <c r="P73">
        <v>43.5</v>
      </c>
      <c r="Q73">
        <v>7830</v>
      </c>
    </row>
    <row r="74" spans="1:17" x14ac:dyDescent="0.35">
      <c r="A74">
        <v>95</v>
      </c>
      <c r="B74">
        <v>7</v>
      </c>
      <c r="C74" t="s">
        <v>19</v>
      </c>
      <c r="D74" s="2" t="s">
        <v>131</v>
      </c>
      <c r="E74" s="2">
        <v>44902</v>
      </c>
      <c r="F74">
        <v>49</v>
      </c>
      <c r="G74">
        <v>2</v>
      </c>
      <c r="H74">
        <v>2.1</v>
      </c>
      <c r="I74">
        <v>48.5</v>
      </c>
      <c r="J74">
        <v>2376.5</v>
      </c>
      <c r="K74" s="2">
        <v>44910</v>
      </c>
      <c r="L74" s="2" t="s">
        <v>131</v>
      </c>
      <c r="M74">
        <v>81</v>
      </c>
      <c r="N74">
        <v>2.1</v>
      </c>
      <c r="O74" s="16">
        <v>0.4</v>
      </c>
      <c r="P74">
        <v>43.5</v>
      </c>
      <c r="Q74">
        <v>3523.5</v>
      </c>
    </row>
    <row r="75" spans="1:17" s="13" customFormat="1" x14ac:dyDescent="0.35">
      <c r="A75" s="13">
        <v>98</v>
      </c>
      <c r="B75" s="13">
        <v>5</v>
      </c>
      <c r="C75" s="13" t="s">
        <v>19</v>
      </c>
      <c r="D75" s="14" t="s">
        <v>131</v>
      </c>
      <c r="E75" s="14">
        <v>44914</v>
      </c>
      <c r="F75" s="13">
        <v>114</v>
      </c>
      <c r="G75" s="13">
        <v>1.9</v>
      </c>
      <c r="H75" s="13">
        <v>0.2</v>
      </c>
      <c r="I75" s="13">
        <v>48.5</v>
      </c>
      <c r="J75" s="13">
        <v>5529</v>
      </c>
      <c r="K75" s="14">
        <v>44916</v>
      </c>
      <c r="L75" s="14" t="s">
        <v>131</v>
      </c>
      <c r="M75" s="13">
        <v>243</v>
      </c>
      <c r="N75" s="13">
        <v>2.2000000000000002</v>
      </c>
      <c r="O75" s="41">
        <v>2.1</v>
      </c>
      <c r="P75" s="13">
        <v>43.5</v>
      </c>
      <c r="Q75" s="13">
        <v>10570.5</v>
      </c>
    </row>
    <row r="76" spans="1:17" x14ac:dyDescent="0.35">
      <c r="A76" s="13">
        <v>99</v>
      </c>
      <c r="B76" s="13">
        <v>7</v>
      </c>
      <c r="C76" s="13" t="s">
        <v>19</v>
      </c>
      <c r="D76" s="14" t="s">
        <v>131</v>
      </c>
      <c r="E76" s="14">
        <v>44914</v>
      </c>
      <c r="F76" s="13">
        <v>47</v>
      </c>
      <c r="G76" s="13">
        <v>1.9</v>
      </c>
      <c r="H76" s="13">
        <v>0.2</v>
      </c>
      <c r="I76" s="13">
        <v>48.5</v>
      </c>
      <c r="J76" s="13">
        <v>2279.5</v>
      </c>
      <c r="K76" s="14">
        <v>44916</v>
      </c>
      <c r="L76" s="14" t="s">
        <v>131</v>
      </c>
      <c r="M76" s="13">
        <v>110</v>
      </c>
      <c r="N76" s="13">
        <v>2.2000000000000002</v>
      </c>
      <c r="O76" s="41">
        <v>1.8</v>
      </c>
      <c r="P76" s="13">
        <v>43.5</v>
      </c>
      <c r="Q76" s="13">
        <v>4785</v>
      </c>
    </row>
    <row r="77" spans="1:17" x14ac:dyDescent="0.35">
      <c r="A77" s="13">
        <v>100</v>
      </c>
      <c r="B77" s="13">
        <v>7</v>
      </c>
      <c r="C77" s="13" t="s">
        <v>19</v>
      </c>
      <c r="D77" s="14" t="s">
        <v>131</v>
      </c>
      <c r="E77" s="14">
        <v>44914</v>
      </c>
      <c r="F77" s="13">
        <v>38</v>
      </c>
      <c r="G77" s="13">
        <v>1.9</v>
      </c>
      <c r="H77" s="13">
        <v>0.1</v>
      </c>
      <c r="I77" s="13">
        <v>48.5</v>
      </c>
      <c r="J77" s="13">
        <v>1843</v>
      </c>
      <c r="K77" s="14">
        <v>44916</v>
      </c>
      <c r="L77" s="14" t="s">
        <v>131</v>
      </c>
      <c r="M77" s="13">
        <v>122</v>
      </c>
      <c r="N77" s="13">
        <v>2.2000000000000002</v>
      </c>
      <c r="O77" s="41">
        <v>1.3</v>
      </c>
      <c r="P77" s="13">
        <v>43.5</v>
      </c>
      <c r="Q77" s="13">
        <v>5307</v>
      </c>
    </row>
    <row r="78" spans="1:17" x14ac:dyDescent="0.35">
      <c r="A78">
        <v>101</v>
      </c>
      <c r="B78">
        <v>5</v>
      </c>
      <c r="C78" t="s">
        <v>31</v>
      </c>
      <c r="D78" s="2" t="s">
        <v>131</v>
      </c>
      <c r="E78" s="2">
        <v>44914</v>
      </c>
      <c r="F78">
        <v>99</v>
      </c>
      <c r="G78">
        <v>2</v>
      </c>
      <c r="H78">
        <v>2.1</v>
      </c>
      <c r="I78">
        <v>48.5</v>
      </c>
      <c r="J78">
        <v>4801.5</v>
      </c>
      <c r="K78" s="2">
        <v>44916</v>
      </c>
      <c r="L78" s="2" t="s">
        <v>131</v>
      </c>
      <c r="M78">
        <v>1123</v>
      </c>
      <c r="N78">
        <v>2.2000000000000002</v>
      </c>
      <c r="O78" s="16">
        <v>2.2000000000000002</v>
      </c>
      <c r="P78">
        <v>43.5</v>
      </c>
      <c r="Q78">
        <v>48850.5</v>
      </c>
    </row>
    <row r="79" spans="1:17" s="13" customFormat="1" x14ac:dyDescent="0.35">
      <c r="A79" s="13">
        <v>102</v>
      </c>
      <c r="B79" s="13">
        <v>5</v>
      </c>
      <c r="C79" s="13" t="s">
        <v>31</v>
      </c>
      <c r="D79" s="2" t="s">
        <v>131</v>
      </c>
      <c r="E79" s="2">
        <v>44914</v>
      </c>
      <c r="F79" s="13">
        <v>106</v>
      </c>
      <c r="G79" s="13">
        <v>1.9</v>
      </c>
      <c r="H79" s="13">
        <v>2</v>
      </c>
      <c r="I79" s="13">
        <v>48.5</v>
      </c>
      <c r="J79" s="13">
        <v>5141</v>
      </c>
      <c r="K79" s="2">
        <v>44916</v>
      </c>
      <c r="L79" s="2" t="s">
        <v>131</v>
      </c>
      <c r="M79" s="13">
        <v>965</v>
      </c>
      <c r="N79" s="13">
        <v>2.2000000000000002</v>
      </c>
      <c r="O79" s="16">
        <v>1.8</v>
      </c>
      <c r="P79" s="13">
        <v>43.5</v>
      </c>
      <c r="Q79" s="13">
        <v>41977.5</v>
      </c>
    </row>
    <row r="80" spans="1:17" x14ac:dyDescent="0.35">
      <c r="A80">
        <v>103</v>
      </c>
      <c r="B80">
        <v>5</v>
      </c>
      <c r="C80" t="s">
        <v>31</v>
      </c>
      <c r="D80" s="2" t="s">
        <v>131</v>
      </c>
      <c r="E80" s="2">
        <v>44914</v>
      </c>
      <c r="F80">
        <v>97</v>
      </c>
      <c r="G80">
        <v>1.9</v>
      </c>
      <c r="H80">
        <v>2.1</v>
      </c>
      <c r="I80">
        <v>48.5</v>
      </c>
      <c r="J80">
        <v>4704.5</v>
      </c>
      <c r="K80" s="2">
        <v>44916</v>
      </c>
      <c r="L80" s="2" t="s">
        <v>131</v>
      </c>
      <c r="M80">
        <v>713</v>
      </c>
      <c r="N80">
        <v>2.2000000000000002</v>
      </c>
      <c r="O80" s="16">
        <v>2.2000000000000002</v>
      </c>
      <c r="P80">
        <v>43.5</v>
      </c>
      <c r="Q80">
        <v>31015.5</v>
      </c>
    </row>
    <row r="81" spans="1:17" x14ac:dyDescent="0.35">
      <c r="A81">
        <v>108</v>
      </c>
      <c r="B81">
        <v>5</v>
      </c>
      <c r="C81" t="s">
        <v>19</v>
      </c>
      <c r="D81" s="2" t="s">
        <v>131</v>
      </c>
      <c r="E81" s="2">
        <v>44914</v>
      </c>
      <c r="F81">
        <v>149</v>
      </c>
      <c r="G81">
        <v>1.9</v>
      </c>
      <c r="H81">
        <v>2</v>
      </c>
      <c r="I81">
        <v>48.5</v>
      </c>
      <c r="J81">
        <v>7226.5</v>
      </c>
      <c r="K81" s="2">
        <v>44916</v>
      </c>
      <c r="L81" s="2" t="s">
        <v>131</v>
      </c>
      <c r="M81">
        <v>280</v>
      </c>
      <c r="N81">
        <v>2.2000000000000002</v>
      </c>
      <c r="O81" s="16">
        <v>1.9</v>
      </c>
      <c r="P81">
        <v>43.5</v>
      </c>
      <c r="Q81">
        <v>12180</v>
      </c>
    </row>
    <row r="82" spans="1:17" x14ac:dyDescent="0.35">
      <c r="A82">
        <v>110</v>
      </c>
      <c r="B82">
        <v>5</v>
      </c>
      <c r="C82" t="s">
        <v>19</v>
      </c>
      <c r="D82" s="2" t="s">
        <v>131</v>
      </c>
      <c r="E82" s="2">
        <v>44914</v>
      </c>
      <c r="F82">
        <v>95</v>
      </c>
      <c r="G82">
        <v>1.9</v>
      </c>
      <c r="H82">
        <v>1.9</v>
      </c>
      <c r="I82">
        <v>48.5</v>
      </c>
      <c r="J82">
        <v>4607.5</v>
      </c>
      <c r="K82" s="2">
        <v>44916</v>
      </c>
      <c r="L82" s="2" t="s">
        <v>131</v>
      </c>
      <c r="M82">
        <v>182</v>
      </c>
      <c r="N82">
        <v>2.2000000000000002</v>
      </c>
      <c r="O82" s="16">
        <v>1.9</v>
      </c>
      <c r="P82">
        <v>43.5</v>
      </c>
      <c r="Q82">
        <v>7917</v>
      </c>
    </row>
    <row r="83" spans="1:17" x14ac:dyDescent="0.35">
      <c r="A83">
        <v>111</v>
      </c>
      <c r="B83">
        <v>4</v>
      </c>
      <c r="C83" t="s">
        <v>31</v>
      </c>
      <c r="D83" s="2" t="s">
        <v>131</v>
      </c>
      <c r="E83" s="2">
        <v>44914</v>
      </c>
      <c r="F83">
        <v>64</v>
      </c>
      <c r="G83">
        <v>1.9</v>
      </c>
      <c r="H83">
        <v>1.9</v>
      </c>
      <c r="I83">
        <v>48.5</v>
      </c>
      <c r="J83">
        <v>3104</v>
      </c>
      <c r="K83" s="2">
        <v>44916</v>
      </c>
      <c r="L83" s="2" t="s">
        <v>131</v>
      </c>
      <c r="M83">
        <v>254</v>
      </c>
      <c r="N83">
        <v>2.2000000000000002</v>
      </c>
      <c r="O83" s="16">
        <v>2.1</v>
      </c>
      <c r="P83">
        <v>43.5</v>
      </c>
      <c r="Q83">
        <v>11049</v>
      </c>
    </row>
    <row r="84" spans="1:17" x14ac:dyDescent="0.35">
      <c r="A84" s="13">
        <v>114</v>
      </c>
      <c r="B84" s="13">
        <v>4</v>
      </c>
      <c r="C84" s="13" t="s">
        <v>19</v>
      </c>
      <c r="D84" s="14" t="s">
        <v>131</v>
      </c>
      <c r="E84" s="14">
        <v>44914</v>
      </c>
      <c r="F84" s="13">
        <v>60</v>
      </c>
      <c r="G84" s="13">
        <v>1.8</v>
      </c>
      <c r="H84" s="13">
        <v>1.2</v>
      </c>
      <c r="I84" s="13">
        <v>48.5</v>
      </c>
      <c r="J84" s="13">
        <v>2910</v>
      </c>
      <c r="K84" s="14">
        <v>44916</v>
      </c>
      <c r="L84" s="14" t="s">
        <v>131</v>
      </c>
      <c r="M84" s="13">
        <v>117</v>
      </c>
      <c r="N84" s="13">
        <v>2.2000000000000002</v>
      </c>
      <c r="O84" s="41">
        <v>2</v>
      </c>
      <c r="P84" s="13">
        <v>43.5</v>
      </c>
      <c r="Q84" s="13">
        <v>5089.5</v>
      </c>
    </row>
    <row r="85" spans="1:17" s="13" customFormat="1" x14ac:dyDescent="0.35">
      <c r="A85" s="13">
        <v>115</v>
      </c>
      <c r="B85" s="13">
        <v>4</v>
      </c>
      <c r="C85" s="13" t="s">
        <v>19</v>
      </c>
      <c r="D85" s="14" t="s">
        <v>131</v>
      </c>
      <c r="E85" s="14">
        <v>44914</v>
      </c>
      <c r="F85" s="13">
        <v>160</v>
      </c>
      <c r="G85" s="13">
        <v>1.9</v>
      </c>
      <c r="H85" s="13">
        <v>0.8</v>
      </c>
      <c r="I85" s="13">
        <v>48.5</v>
      </c>
      <c r="J85" s="13">
        <v>7760</v>
      </c>
      <c r="K85" s="14">
        <v>44916</v>
      </c>
      <c r="L85" s="14" t="s">
        <v>131</v>
      </c>
      <c r="M85" s="13">
        <v>179</v>
      </c>
      <c r="N85" s="13">
        <v>2.2000000000000002</v>
      </c>
      <c r="O85" s="41">
        <v>2</v>
      </c>
      <c r="P85" s="13">
        <v>43.5</v>
      </c>
      <c r="Q85" s="13">
        <v>7786.5</v>
      </c>
    </row>
    <row r="86" spans="1:17" x14ac:dyDescent="0.35">
      <c r="A86" s="13">
        <v>117</v>
      </c>
      <c r="B86" s="13">
        <v>4</v>
      </c>
      <c r="C86" s="13" t="s">
        <v>31</v>
      </c>
      <c r="D86" s="14" t="s">
        <v>131</v>
      </c>
      <c r="E86" s="14">
        <v>44914</v>
      </c>
      <c r="F86" s="13">
        <v>59</v>
      </c>
      <c r="G86" s="13">
        <v>1.9</v>
      </c>
      <c r="H86" s="13">
        <v>0.5</v>
      </c>
      <c r="I86" s="13">
        <v>48.5</v>
      </c>
      <c r="J86" s="13">
        <v>2861.5</v>
      </c>
      <c r="K86" s="14">
        <v>44916</v>
      </c>
      <c r="L86" s="14" t="s">
        <v>131</v>
      </c>
      <c r="M86" s="13">
        <v>301</v>
      </c>
      <c r="N86" s="13">
        <v>2.2000000000000002</v>
      </c>
      <c r="O86" s="41">
        <v>2.2000000000000002</v>
      </c>
      <c r="P86" s="13">
        <v>43.5</v>
      </c>
      <c r="Q86" s="13">
        <v>13093.5</v>
      </c>
    </row>
    <row r="87" spans="1:17" x14ac:dyDescent="0.35">
      <c r="A87" s="13">
        <v>119</v>
      </c>
      <c r="B87" s="13">
        <v>4</v>
      </c>
      <c r="C87" s="13" t="s">
        <v>19</v>
      </c>
      <c r="D87" s="14" t="s">
        <v>131</v>
      </c>
      <c r="E87" s="14">
        <v>44914</v>
      </c>
      <c r="F87" s="13">
        <v>162</v>
      </c>
      <c r="G87" s="13">
        <v>1.9</v>
      </c>
      <c r="H87" s="13">
        <v>0.3</v>
      </c>
      <c r="I87" s="13">
        <v>48.5</v>
      </c>
      <c r="J87" s="13">
        <v>7857</v>
      </c>
      <c r="K87" s="14">
        <v>44916</v>
      </c>
      <c r="L87" s="14" t="s">
        <v>131</v>
      </c>
      <c r="M87" s="13">
        <v>319</v>
      </c>
      <c r="N87" s="13">
        <v>2.2000000000000002</v>
      </c>
      <c r="O87" s="41">
        <v>2.1</v>
      </c>
      <c r="P87" s="13">
        <v>43.5</v>
      </c>
      <c r="Q87" s="13">
        <v>13876.5</v>
      </c>
    </row>
    <row r="88" spans="1:17" x14ac:dyDescent="0.35">
      <c r="A88">
        <v>120</v>
      </c>
      <c r="B88">
        <v>4</v>
      </c>
      <c r="C88" t="s">
        <v>31</v>
      </c>
      <c r="D88" s="2" t="s">
        <v>131</v>
      </c>
      <c r="E88" s="2">
        <v>44914</v>
      </c>
      <c r="F88">
        <v>67</v>
      </c>
      <c r="G88">
        <v>2</v>
      </c>
      <c r="H88">
        <v>2</v>
      </c>
      <c r="I88">
        <v>48.5</v>
      </c>
      <c r="J88">
        <v>3249.5</v>
      </c>
      <c r="K88" s="2">
        <v>44916</v>
      </c>
      <c r="L88" s="2" t="s">
        <v>131</v>
      </c>
      <c r="M88">
        <v>1023</v>
      </c>
      <c r="N88">
        <v>2.2000000000000002</v>
      </c>
      <c r="O88" s="16">
        <v>2.2999999999999998</v>
      </c>
      <c r="P88">
        <v>43.5</v>
      </c>
      <c r="Q88">
        <v>44500.5</v>
      </c>
    </row>
    <row r="89" spans="1:17" s="42" customFormat="1" x14ac:dyDescent="0.35">
      <c r="A89" s="42">
        <v>123</v>
      </c>
      <c r="B89" s="42">
        <v>3</v>
      </c>
      <c r="C89" s="42" t="s">
        <v>31</v>
      </c>
      <c r="D89" s="2" t="s">
        <v>131</v>
      </c>
      <c r="E89" s="2">
        <v>44914</v>
      </c>
      <c r="F89" s="42">
        <v>51</v>
      </c>
      <c r="G89" s="42">
        <v>1.9</v>
      </c>
      <c r="H89" s="42">
        <v>2</v>
      </c>
      <c r="I89" s="42">
        <v>48.5</v>
      </c>
      <c r="J89" s="42">
        <v>2473.5</v>
      </c>
      <c r="K89" s="2">
        <v>44916</v>
      </c>
      <c r="L89" s="2" t="s">
        <v>131</v>
      </c>
      <c r="M89" s="42">
        <v>107</v>
      </c>
      <c r="N89" s="42">
        <v>2.2000000000000002</v>
      </c>
      <c r="O89" s="16">
        <v>2.2000000000000002</v>
      </c>
      <c r="P89" s="42">
        <v>43.5</v>
      </c>
      <c r="Q89" s="42">
        <v>4654.5</v>
      </c>
    </row>
    <row r="90" spans="1:17" s="13" customFormat="1" x14ac:dyDescent="0.35">
      <c r="A90" s="13">
        <v>125</v>
      </c>
      <c r="B90" s="13">
        <v>3</v>
      </c>
      <c r="C90" s="13" t="s">
        <v>19</v>
      </c>
      <c r="D90" s="14" t="s">
        <v>131</v>
      </c>
      <c r="E90" s="14">
        <v>44914</v>
      </c>
      <c r="F90" s="13">
        <v>60</v>
      </c>
      <c r="G90" s="13">
        <v>1.9</v>
      </c>
      <c r="H90" s="13">
        <v>0.1</v>
      </c>
      <c r="I90" s="13">
        <v>48.5</v>
      </c>
      <c r="J90" s="13">
        <v>2910</v>
      </c>
      <c r="K90" s="14">
        <v>44916</v>
      </c>
      <c r="L90" s="14" t="s">
        <v>131</v>
      </c>
      <c r="M90" s="13">
        <v>204</v>
      </c>
      <c r="N90" s="13">
        <v>2.2000000000000002</v>
      </c>
      <c r="O90" s="41">
        <v>2.2000000000000002</v>
      </c>
      <c r="P90" s="13">
        <v>43.5</v>
      </c>
      <c r="Q90" s="13">
        <v>8874</v>
      </c>
    </row>
    <row r="91" spans="1:17" s="13" customFormat="1" x14ac:dyDescent="0.35">
      <c r="A91" s="13">
        <v>130</v>
      </c>
      <c r="B91" s="13">
        <v>3</v>
      </c>
      <c r="C91" s="13" t="s">
        <v>19</v>
      </c>
      <c r="D91" s="2" t="s">
        <v>131</v>
      </c>
      <c r="E91" s="2">
        <v>44914</v>
      </c>
      <c r="F91" s="13">
        <v>87</v>
      </c>
      <c r="G91" s="13">
        <v>1.9</v>
      </c>
      <c r="H91" s="13">
        <v>2.2000000000000002</v>
      </c>
      <c r="I91" s="13">
        <v>48.5</v>
      </c>
      <c r="J91" s="13">
        <v>4219.5</v>
      </c>
      <c r="K91" s="2">
        <v>44916</v>
      </c>
      <c r="L91" s="2" t="s">
        <v>131</v>
      </c>
      <c r="M91" s="13">
        <v>195</v>
      </c>
      <c r="N91" s="13">
        <v>2.2000000000000002</v>
      </c>
      <c r="O91" s="16">
        <v>2.2000000000000002</v>
      </c>
      <c r="P91" s="13">
        <v>43.5</v>
      </c>
      <c r="Q91" s="13">
        <v>8482.5</v>
      </c>
    </row>
    <row r="92" spans="1:17" x14ac:dyDescent="0.35">
      <c r="A92" s="13">
        <v>132</v>
      </c>
      <c r="B92" s="13">
        <v>3</v>
      </c>
      <c r="C92" s="13" t="s">
        <v>31</v>
      </c>
      <c r="D92" s="14" t="s">
        <v>131</v>
      </c>
      <c r="E92" s="14">
        <v>44914</v>
      </c>
      <c r="F92" s="13">
        <v>45</v>
      </c>
      <c r="G92" s="13">
        <v>1.9</v>
      </c>
      <c r="H92" s="13">
        <v>0.9</v>
      </c>
      <c r="I92" s="13">
        <v>48.5</v>
      </c>
      <c r="J92" s="13">
        <v>2182.5</v>
      </c>
      <c r="K92" s="14">
        <v>44916</v>
      </c>
      <c r="L92" s="14" t="s">
        <v>131</v>
      </c>
      <c r="M92" s="13">
        <v>237</v>
      </c>
      <c r="N92" s="13">
        <v>2.2000000000000002</v>
      </c>
      <c r="O92" s="41">
        <v>1.8</v>
      </c>
      <c r="P92" s="13">
        <v>43.5</v>
      </c>
      <c r="Q92" s="13">
        <v>10309.5</v>
      </c>
    </row>
    <row r="93" spans="1:17" x14ac:dyDescent="0.35">
      <c r="A93">
        <v>133</v>
      </c>
      <c r="B93">
        <v>2</v>
      </c>
      <c r="C93" t="s">
        <v>19</v>
      </c>
      <c r="D93" s="2" t="s">
        <v>131</v>
      </c>
      <c r="E93" s="2">
        <v>44914</v>
      </c>
      <c r="F93">
        <v>49</v>
      </c>
      <c r="G93">
        <v>1.9</v>
      </c>
      <c r="H93">
        <v>2.2000000000000002</v>
      </c>
      <c r="I93">
        <v>48.5</v>
      </c>
      <c r="J93">
        <v>2376.5</v>
      </c>
      <c r="K93" s="2">
        <v>44916</v>
      </c>
      <c r="L93" s="2" t="s">
        <v>131</v>
      </c>
      <c r="M93">
        <v>166</v>
      </c>
      <c r="N93">
        <v>2.2000000000000002</v>
      </c>
      <c r="O93" s="16">
        <v>2</v>
      </c>
      <c r="P93">
        <v>43.5</v>
      </c>
      <c r="Q93">
        <v>7221</v>
      </c>
    </row>
    <row r="94" spans="1:17" x14ac:dyDescent="0.35">
      <c r="A94" s="13">
        <v>134</v>
      </c>
      <c r="B94" s="13">
        <v>2</v>
      </c>
      <c r="C94" s="13" t="s">
        <v>31</v>
      </c>
      <c r="D94" s="14" t="s">
        <v>131</v>
      </c>
      <c r="E94" s="14">
        <v>44914</v>
      </c>
      <c r="F94" s="13">
        <v>80</v>
      </c>
      <c r="G94" s="13">
        <v>1.9</v>
      </c>
      <c r="H94" s="13">
        <v>0.7</v>
      </c>
      <c r="I94" s="13">
        <v>48.5</v>
      </c>
      <c r="J94" s="13">
        <v>3880</v>
      </c>
      <c r="K94" s="14">
        <v>44916</v>
      </c>
      <c r="L94" s="14" t="s">
        <v>131</v>
      </c>
      <c r="M94" s="13">
        <v>473</v>
      </c>
      <c r="N94" s="13">
        <v>2.2000000000000002</v>
      </c>
      <c r="O94" s="41">
        <v>1.7</v>
      </c>
      <c r="P94" s="13">
        <v>43.5</v>
      </c>
      <c r="Q94" s="13">
        <v>20575.5</v>
      </c>
    </row>
    <row r="95" spans="1:17" x14ac:dyDescent="0.35">
      <c r="A95" s="13">
        <v>135</v>
      </c>
      <c r="B95" s="13">
        <v>2</v>
      </c>
      <c r="C95" s="13" t="s">
        <v>31</v>
      </c>
      <c r="D95" s="14" t="s">
        <v>131</v>
      </c>
      <c r="E95" s="14">
        <v>44914</v>
      </c>
      <c r="F95" s="13">
        <v>22</v>
      </c>
      <c r="G95" s="13">
        <v>1.9</v>
      </c>
      <c r="H95" s="13">
        <v>0.3</v>
      </c>
      <c r="I95" s="13">
        <v>48.5</v>
      </c>
      <c r="J95" s="13">
        <v>1067</v>
      </c>
      <c r="K95" s="14">
        <v>44916</v>
      </c>
      <c r="L95" s="14" t="s">
        <v>131</v>
      </c>
      <c r="M95" s="13">
        <v>86</v>
      </c>
      <c r="N95" s="13">
        <v>2.2000000000000002</v>
      </c>
      <c r="O95" s="41">
        <v>1.8</v>
      </c>
      <c r="P95" s="13">
        <v>43.5</v>
      </c>
      <c r="Q95" s="13">
        <v>3741</v>
      </c>
    </row>
    <row r="96" spans="1:17" s="13" customFormat="1" x14ac:dyDescent="0.35">
      <c r="A96" s="13">
        <v>137</v>
      </c>
      <c r="B96" s="13">
        <v>3</v>
      </c>
      <c r="C96" s="13" t="s">
        <v>31</v>
      </c>
      <c r="D96" s="14" t="s">
        <v>131</v>
      </c>
      <c r="E96" s="14">
        <v>44914</v>
      </c>
      <c r="F96" s="13">
        <v>27</v>
      </c>
      <c r="G96" s="13">
        <v>1.9</v>
      </c>
      <c r="H96" s="13">
        <v>1.2</v>
      </c>
      <c r="I96" s="13">
        <v>48.5</v>
      </c>
      <c r="J96" s="13">
        <v>1309.5</v>
      </c>
      <c r="K96" s="14">
        <v>44916</v>
      </c>
      <c r="L96" s="14" t="s">
        <v>131</v>
      </c>
      <c r="M96" s="13">
        <v>83</v>
      </c>
      <c r="N96" s="13">
        <v>2.1</v>
      </c>
      <c r="O96" s="41">
        <v>1.3</v>
      </c>
      <c r="P96" s="13">
        <v>43.5</v>
      </c>
      <c r="Q96" s="13">
        <v>3610.5</v>
      </c>
    </row>
    <row r="97" spans="1:17" x14ac:dyDescent="0.35">
      <c r="A97" s="13">
        <v>140</v>
      </c>
      <c r="B97" s="13">
        <v>2</v>
      </c>
      <c r="C97" s="13" t="s">
        <v>19</v>
      </c>
      <c r="D97" s="14" t="s">
        <v>131</v>
      </c>
      <c r="E97" s="14">
        <v>44914</v>
      </c>
      <c r="F97" s="13">
        <v>43</v>
      </c>
      <c r="G97" s="13">
        <v>1.9</v>
      </c>
      <c r="H97" s="13">
        <v>0.3</v>
      </c>
      <c r="I97" s="13">
        <v>48.5</v>
      </c>
      <c r="J97" s="13">
        <v>2085.5</v>
      </c>
      <c r="K97" s="14">
        <v>44916</v>
      </c>
      <c r="L97" s="14" t="s">
        <v>131</v>
      </c>
      <c r="M97" s="13">
        <v>141</v>
      </c>
      <c r="N97" s="13">
        <v>2.2000000000000002</v>
      </c>
      <c r="O97" s="41">
        <v>1.7</v>
      </c>
      <c r="P97" s="13">
        <v>43.5</v>
      </c>
      <c r="Q97" s="13">
        <v>6133.5</v>
      </c>
    </row>
  </sheetData>
  <conditionalFormatting sqref="H23">
    <cfRule type="expression" dxfId="1" priority="3">
      <formula>$H23 &lt; 1.9</formula>
    </cfRule>
  </conditionalFormatting>
  <conditionalFormatting sqref="O23">
    <cfRule type="expression" dxfId="0" priority="2">
      <formula>$O23 &lt; 1.8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0A3D-12E8-4907-91FB-7665A40B5A7D}">
  <dimension ref="A1:E118"/>
  <sheetViews>
    <sheetView topLeftCell="A79" workbookViewId="0">
      <selection activeCell="N112" sqref="N112"/>
    </sheetView>
  </sheetViews>
  <sheetFormatPr defaultRowHeight="14.5" x14ac:dyDescent="0.35"/>
  <sheetData>
    <row r="1" spans="1:5" x14ac:dyDescent="0.35">
      <c r="A1" t="s">
        <v>137</v>
      </c>
      <c r="B1" t="s">
        <v>138</v>
      </c>
      <c r="C1" t="s">
        <v>139</v>
      </c>
      <c r="D1" t="s">
        <v>140</v>
      </c>
      <c r="E1" t="s">
        <v>153</v>
      </c>
    </row>
    <row r="2" spans="1:5" x14ac:dyDescent="0.35">
      <c r="A2">
        <v>52</v>
      </c>
      <c r="B2">
        <v>1</v>
      </c>
      <c r="C2" t="s">
        <v>154</v>
      </c>
      <c r="D2" t="s">
        <v>160</v>
      </c>
      <c r="E2" t="str">
        <f>CONCATENATE(C2, "-", D2)</f>
        <v>P1-Unkn-01</v>
      </c>
    </row>
    <row r="3" spans="1:5" x14ac:dyDescent="0.35">
      <c r="A3">
        <v>35</v>
      </c>
      <c r="B3">
        <v>2</v>
      </c>
      <c r="C3" t="s">
        <v>154</v>
      </c>
      <c r="D3" t="s">
        <v>161</v>
      </c>
      <c r="E3" t="str">
        <f t="shared" ref="E3:E66" si="0">CONCATENATE(C3, "-", D3)</f>
        <v>P1-Unkn-02</v>
      </c>
    </row>
    <row r="4" spans="1:5" x14ac:dyDescent="0.35">
      <c r="A4">
        <v>3</v>
      </c>
      <c r="B4">
        <v>3</v>
      </c>
      <c r="C4" t="s">
        <v>154</v>
      </c>
      <c r="D4" t="s">
        <v>162</v>
      </c>
      <c r="E4" t="str">
        <f t="shared" si="0"/>
        <v>P1-Unkn-03</v>
      </c>
    </row>
    <row r="5" spans="1:5" x14ac:dyDescent="0.35">
      <c r="A5">
        <v>108</v>
      </c>
      <c r="B5">
        <v>4</v>
      </c>
      <c r="C5" t="s">
        <v>154</v>
      </c>
      <c r="D5" t="s">
        <v>163</v>
      </c>
      <c r="E5" t="str">
        <f t="shared" si="0"/>
        <v>P1-Unkn-04</v>
      </c>
    </row>
    <row r="6" spans="1:5" x14ac:dyDescent="0.35">
      <c r="A6">
        <v>93</v>
      </c>
      <c r="B6">
        <v>5</v>
      </c>
      <c r="C6" t="s">
        <v>154</v>
      </c>
      <c r="D6" t="s">
        <v>164</v>
      </c>
      <c r="E6" t="str">
        <f t="shared" si="0"/>
        <v>P1-Unkn-05</v>
      </c>
    </row>
    <row r="7" spans="1:5" x14ac:dyDescent="0.35">
      <c r="A7">
        <v>138</v>
      </c>
      <c r="B7">
        <v>6</v>
      </c>
      <c r="C7" t="s">
        <v>154</v>
      </c>
      <c r="D7" t="s">
        <v>165</v>
      </c>
      <c r="E7" t="str">
        <f t="shared" si="0"/>
        <v>P1-Unkn-06</v>
      </c>
    </row>
    <row r="8" spans="1:5" x14ac:dyDescent="0.35">
      <c r="A8">
        <v>4</v>
      </c>
      <c r="B8">
        <v>7</v>
      </c>
      <c r="C8" t="s">
        <v>154</v>
      </c>
      <c r="D8" t="s">
        <v>166</v>
      </c>
      <c r="E8" t="str">
        <f t="shared" si="0"/>
        <v>P1-Unkn-07</v>
      </c>
    </row>
    <row r="9" spans="1:5" x14ac:dyDescent="0.35">
      <c r="A9">
        <v>16</v>
      </c>
      <c r="B9">
        <v>8</v>
      </c>
      <c r="C9" t="s">
        <v>154</v>
      </c>
      <c r="D9" t="s">
        <v>167</v>
      </c>
      <c r="E9" t="str">
        <f t="shared" si="0"/>
        <v>P1-Unkn-08</v>
      </c>
    </row>
    <row r="10" spans="1:5" x14ac:dyDescent="0.35">
      <c r="A10">
        <v>128</v>
      </c>
      <c r="B10">
        <v>9</v>
      </c>
      <c r="C10" t="s">
        <v>154</v>
      </c>
      <c r="D10" t="s">
        <v>168</v>
      </c>
      <c r="E10" t="str">
        <f t="shared" si="0"/>
        <v>P1-Unkn-09</v>
      </c>
    </row>
    <row r="11" spans="1:5" x14ac:dyDescent="0.35">
      <c r="A11">
        <v>123</v>
      </c>
      <c r="B11">
        <v>10</v>
      </c>
      <c r="C11" t="s">
        <v>154</v>
      </c>
      <c r="D11" t="s">
        <v>141</v>
      </c>
      <c r="E11" t="str">
        <f t="shared" si="0"/>
        <v>P1-Unkn-10</v>
      </c>
    </row>
    <row r="12" spans="1:5" x14ac:dyDescent="0.35">
      <c r="A12">
        <v>43</v>
      </c>
      <c r="B12">
        <v>11</v>
      </c>
      <c r="C12" t="s">
        <v>154</v>
      </c>
      <c r="D12" t="s">
        <v>142</v>
      </c>
      <c r="E12" t="str">
        <f t="shared" si="0"/>
        <v>P1-Unkn-11</v>
      </c>
    </row>
    <row r="13" spans="1:5" x14ac:dyDescent="0.35">
      <c r="A13">
        <v>42</v>
      </c>
      <c r="B13">
        <v>12</v>
      </c>
      <c r="C13" t="s">
        <v>154</v>
      </c>
      <c r="D13" t="s">
        <v>143</v>
      </c>
      <c r="E13" t="str">
        <f t="shared" si="0"/>
        <v>P1-Unkn-12</v>
      </c>
    </row>
    <row r="14" spans="1:5" x14ac:dyDescent="0.35">
      <c r="A14">
        <v>69</v>
      </c>
      <c r="B14">
        <v>13</v>
      </c>
      <c r="C14" t="s">
        <v>154</v>
      </c>
      <c r="D14" t="s">
        <v>144</v>
      </c>
      <c r="E14" t="str">
        <f t="shared" si="0"/>
        <v>P1-Unkn-13</v>
      </c>
    </row>
    <row r="15" spans="1:5" x14ac:dyDescent="0.35">
      <c r="A15">
        <v>31</v>
      </c>
      <c r="B15">
        <v>14</v>
      </c>
      <c r="C15" t="s">
        <v>154</v>
      </c>
      <c r="D15" t="s">
        <v>145</v>
      </c>
      <c r="E15" t="str">
        <f t="shared" si="0"/>
        <v>P1-Unkn-14</v>
      </c>
    </row>
    <row r="16" spans="1:5" x14ac:dyDescent="0.35">
      <c r="A16">
        <v>47</v>
      </c>
      <c r="B16">
        <v>15</v>
      </c>
      <c r="C16" t="s">
        <v>154</v>
      </c>
      <c r="D16" t="s">
        <v>146</v>
      </c>
      <c r="E16" t="str">
        <f t="shared" si="0"/>
        <v>P1-Unkn-15</v>
      </c>
    </row>
    <row r="17" spans="1:5" x14ac:dyDescent="0.35">
      <c r="A17">
        <v>129</v>
      </c>
      <c r="B17">
        <v>16</v>
      </c>
      <c r="C17" t="s">
        <v>154</v>
      </c>
      <c r="D17" t="s">
        <v>147</v>
      </c>
      <c r="E17" t="str">
        <f t="shared" si="0"/>
        <v>P1-Unkn-16</v>
      </c>
    </row>
    <row r="18" spans="1:5" x14ac:dyDescent="0.35">
      <c r="A18">
        <v>57</v>
      </c>
      <c r="B18">
        <v>17</v>
      </c>
      <c r="C18" t="s">
        <v>154</v>
      </c>
      <c r="D18" t="s">
        <v>148</v>
      </c>
      <c r="E18" t="str">
        <f t="shared" si="0"/>
        <v>P1-Unkn-17</v>
      </c>
    </row>
    <row r="19" spans="1:5" x14ac:dyDescent="0.35">
      <c r="A19">
        <v>66</v>
      </c>
      <c r="B19">
        <v>18</v>
      </c>
      <c r="C19" t="s">
        <v>154</v>
      </c>
      <c r="D19" t="s">
        <v>149</v>
      </c>
      <c r="E19" t="str">
        <f t="shared" si="0"/>
        <v>P1-Unkn-18</v>
      </c>
    </row>
    <row r="20" spans="1:5" x14ac:dyDescent="0.35">
      <c r="A20">
        <v>59</v>
      </c>
      <c r="B20">
        <v>19</v>
      </c>
      <c r="C20" t="s">
        <v>154</v>
      </c>
      <c r="D20" t="s">
        <v>150</v>
      </c>
      <c r="E20" t="str">
        <f t="shared" si="0"/>
        <v>P1-Unkn-19</v>
      </c>
    </row>
    <row r="21" spans="1:5" x14ac:dyDescent="0.35">
      <c r="A21">
        <v>26</v>
      </c>
      <c r="B21">
        <v>20</v>
      </c>
      <c r="C21" t="s">
        <v>154</v>
      </c>
      <c r="D21" t="s">
        <v>151</v>
      </c>
      <c r="E21" t="str">
        <f t="shared" si="0"/>
        <v>P1-Unkn-20</v>
      </c>
    </row>
    <row r="22" spans="1:5" x14ac:dyDescent="0.35">
      <c r="A22">
        <v>131</v>
      </c>
      <c r="B22">
        <v>21</v>
      </c>
      <c r="C22" t="s">
        <v>154</v>
      </c>
      <c r="D22" t="s">
        <v>152</v>
      </c>
      <c r="E22" t="str">
        <f t="shared" si="0"/>
        <v>P1-Unkn-21</v>
      </c>
    </row>
    <row r="23" spans="1:5" x14ac:dyDescent="0.35">
      <c r="A23">
        <v>46</v>
      </c>
      <c r="B23">
        <v>22</v>
      </c>
      <c r="C23" t="s">
        <v>155</v>
      </c>
      <c r="D23" t="s">
        <v>160</v>
      </c>
      <c r="E23" t="str">
        <f t="shared" si="0"/>
        <v>P2-Unkn-01</v>
      </c>
    </row>
    <row r="24" spans="1:5" x14ac:dyDescent="0.35">
      <c r="A24">
        <v>22</v>
      </c>
      <c r="B24">
        <v>23</v>
      </c>
      <c r="C24" t="s">
        <v>155</v>
      </c>
      <c r="D24" t="s">
        <v>161</v>
      </c>
      <c r="E24" t="str">
        <f t="shared" si="0"/>
        <v>P2-Unkn-02</v>
      </c>
    </row>
    <row r="25" spans="1:5" x14ac:dyDescent="0.35">
      <c r="A25">
        <v>17</v>
      </c>
      <c r="B25">
        <v>24</v>
      </c>
      <c r="C25" t="s">
        <v>155</v>
      </c>
      <c r="D25" t="s">
        <v>162</v>
      </c>
      <c r="E25" t="str">
        <f t="shared" si="0"/>
        <v>P2-Unkn-03</v>
      </c>
    </row>
    <row r="26" spans="1:5" x14ac:dyDescent="0.35">
      <c r="A26">
        <v>120</v>
      </c>
      <c r="B26">
        <v>25</v>
      </c>
      <c r="C26" t="s">
        <v>155</v>
      </c>
      <c r="D26" t="s">
        <v>163</v>
      </c>
      <c r="E26" t="str">
        <f t="shared" si="0"/>
        <v>P2-Unkn-04</v>
      </c>
    </row>
    <row r="27" spans="1:5" x14ac:dyDescent="0.35">
      <c r="A27">
        <v>118</v>
      </c>
      <c r="B27">
        <v>26</v>
      </c>
      <c r="C27" t="s">
        <v>155</v>
      </c>
      <c r="D27" t="s">
        <v>164</v>
      </c>
      <c r="E27" t="str">
        <f t="shared" si="0"/>
        <v>P2-Unkn-05</v>
      </c>
    </row>
    <row r="28" spans="1:5" x14ac:dyDescent="0.35">
      <c r="A28">
        <v>81</v>
      </c>
      <c r="B28">
        <v>27</v>
      </c>
      <c r="C28" t="s">
        <v>155</v>
      </c>
      <c r="D28" t="s">
        <v>165</v>
      </c>
      <c r="E28" t="str">
        <f t="shared" si="0"/>
        <v>P2-Unkn-06</v>
      </c>
    </row>
    <row r="29" spans="1:5" x14ac:dyDescent="0.35">
      <c r="A29">
        <v>5</v>
      </c>
      <c r="B29">
        <v>28</v>
      </c>
      <c r="C29" t="s">
        <v>155</v>
      </c>
      <c r="D29" t="s">
        <v>166</v>
      </c>
      <c r="E29" t="str">
        <f t="shared" si="0"/>
        <v>P2-Unkn-07</v>
      </c>
    </row>
    <row r="30" spans="1:5" x14ac:dyDescent="0.35">
      <c r="A30">
        <v>9</v>
      </c>
      <c r="B30">
        <v>29</v>
      </c>
      <c r="C30" t="s">
        <v>155</v>
      </c>
      <c r="D30" t="s">
        <v>167</v>
      </c>
      <c r="E30" t="str">
        <f t="shared" si="0"/>
        <v>P2-Unkn-08</v>
      </c>
    </row>
    <row r="31" spans="1:5" x14ac:dyDescent="0.35">
      <c r="A31">
        <v>1</v>
      </c>
      <c r="B31">
        <v>30</v>
      </c>
      <c r="C31" t="s">
        <v>155</v>
      </c>
      <c r="D31" t="s">
        <v>168</v>
      </c>
      <c r="E31" t="str">
        <f t="shared" si="0"/>
        <v>P2-Unkn-09</v>
      </c>
    </row>
    <row r="32" spans="1:5" x14ac:dyDescent="0.35">
      <c r="A32">
        <v>68</v>
      </c>
      <c r="B32">
        <v>31</v>
      </c>
      <c r="C32" t="s">
        <v>155</v>
      </c>
      <c r="D32" t="s">
        <v>141</v>
      </c>
      <c r="E32" t="str">
        <f t="shared" si="0"/>
        <v>P2-Unkn-10</v>
      </c>
    </row>
    <row r="33" spans="1:5" x14ac:dyDescent="0.35">
      <c r="A33">
        <v>55</v>
      </c>
      <c r="B33">
        <v>32</v>
      </c>
      <c r="C33" t="s">
        <v>155</v>
      </c>
      <c r="D33" t="s">
        <v>142</v>
      </c>
      <c r="E33" t="str">
        <f t="shared" si="0"/>
        <v>P2-Unkn-11</v>
      </c>
    </row>
    <row r="34" spans="1:5" x14ac:dyDescent="0.35">
      <c r="A34">
        <v>134</v>
      </c>
      <c r="B34">
        <v>33</v>
      </c>
      <c r="C34" t="s">
        <v>155</v>
      </c>
      <c r="D34" t="s">
        <v>143</v>
      </c>
      <c r="E34" t="str">
        <f t="shared" si="0"/>
        <v>P2-Unkn-12</v>
      </c>
    </row>
    <row r="35" spans="1:5" x14ac:dyDescent="0.35">
      <c r="A35">
        <v>106</v>
      </c>
      <c r="B35">
        <v>34</v>
      </c>
      <c r="C35" t="s">
        <v>155</v>
      </c>
      <c r="D35" t="s">
        <v>144</v>
      </c>
      <c r="E35" t="str">
        <f t="shared" si="0"/>
        <v>P2-Unkn-13</v>
      </c>
    </row>
    <row r="36" spans="1:5" x14ac:dyDescent="0.35">
      <c r="A36">
        <v>91</v>
      </c>
      <c r="B36">
        <v>35</v>
      </c>
      <c r="C36" t="s">
        <v>155</v>
      </c>
      <c r="D36" t="s">
        <v>145</v>
      </c>
      <c r="E36" t="str">
        <f t="shared" si="0"/>
        <v>P2-Unkn-14</v>
      </c>
    </row>
    <row r="37" spans="1:5" x14ac:dyDescent="0.35">
      <c r="A37">
        <v>32</v>
      </c>
      <c r="B37">
        <v>36</v>
      </c>
      <c r="C37" t="s">
        <v>155</v>
      </c>
      <c r="D37" t="s">
        <v>146</v>
      </c>
      <c r="E37" t="str">
        <f t="shared" si="0"/>
        <v>P2-Unkn-15</v>
      </c>
    </row>
    <row r="38" spans="1:5" x14ac:dyDescent="0.35">
      <c r="A38">
        <v>62</v>
      </c>
      <c r="B38">
        <v>37</v>
      </c>
      <c r="C38" t="s">
        <v>155</v>
      </c>
      <c r="D38" t="s">
        <v>147</v>
      </c>
      <c r="E38" t="str">
        <f t="shared" si="0"/>
        <v>P2-Unkn-16</v>
      </c>
    </row>
    <row r="39" spans="1:5" x14ac:dyDescent="0.35">
      <c r="A39">
        <v>50</v>
      </c>
      <c r="B39">
        <v>38</v>
      </c>
      <c r="C39" t="s">
        <v>155</v>
      </c>
      <c r="D39" t="s">
        <v>148</v>
      </c>
      <c r="E39" t="str">
        <f t="shared" si="0"/>
        <v>P2-Unkn-17</v>
      </c>
    </row>
    <row r="40" spans="1:5" x14ac:dyDescent="0.35">
      <c r="A40">
        <v>24</v>
      </c>
      <c r="B40">
        <v>39</v>
      </c>
      <c r="C40" t="s">
        <v>155</v>
      </c>
      <c r="D40" t="s">
        <v>149</v>
      </c>
      <c r="E40" t="str">
        <f t="shared" si="0"/>
        <v>P2-Unkn-18</v>
      </c>
    </row>
    <row r="41" spans="1:5" x14ac:dyDescent="0.35">
      <c r="A41">
        <v>60</v>
      </c>
      <c r="B41">
        <v>40</v>
      </c>
      <c r="C41" t="s">
        <v>155</v>
      </c>
      <c r="D41" t="s">
        <v>150</v>
      </c>
      <c r="E41" t="str">
        <f t="shared" si="0"/>
        <v>P2-Unkn-19</v>
      </c>
    </row>
    <row r="42" spans="1:5" x14ac:dyDescent="0.35">
      <c r="A42">
        <v>119</v>
      </c>
      <c r="B42">
        <v>41</v>
      </c>
      <c r="C42" t="s">
        <v>155</v>
      </c>
      <c r="D42" t="s">
        <v>151</v>
      </c>
      <c r="E42" t="str">
        <f t="shared" si="0"/>
        <v>P2-Unkn-20</v>
      </c>
    </row>
    <row r="43" spans="1:5" x14ac:dyDescent="0.35">
      <c r="A43">
        <v>13</v>
      </c>
      <c r="B43">
        <v>42</v>
      </c>
      <c r="C43" t="s">
        <v>155</v>
      </c>
      <c r="D43" t="s">
        <v>152</v>
      </c>
      <c r="E43" t="str">
        <f t="shared" si="0"/>
        <v>P2-Unkn-21</v>
      </c>
    </row>
    <row r="44" spans="1:5" x14ac:dyDescent="0.35">
      <c r="A44">
        <v>40</v>
      </c>
      <c r="B44">
        <v>43</v>
      </c>
      <c r="C44" t="s">
        <v>156</v>
      </c>
      <c r="D44" t="s">
        <v>160</v>
      </c>
      <c r="E44" t="str">
        <f t="shared" si="0"/>
        <v>P3-Unkn-01</v>
      </c>
    </row>
    <row r="45" spans="1:5" x14ac:dyDescent="0.35">
      <c r="A45">
        <v>89</v>
      </c>
      <c r="B45">
        <v>44</v>
      </c>
      <c r="C45" t="s">
        <v>156</v>
      </c>
      <c r="D45" t="s">
        <v>161</v>
      </c>
      <c r="E45" t="str">
        <f t="shared" si="0"/>
        <v>P3-Unkn-02</v>
      </c>
    </row>
    <row r="46" spans="1:5" x14ac:dyDescent="0.35">
      <c r="A46">
        <v>48</v>
      </c>
      <c r="B46">
        <v>45</v>
      </c>
      <c r="C46" t="s">
        <v>156</v>
      </c>
      <c r="D46" t="s">
        <v>162</v>
      </c>
      <c r="E46" t="str">
        <f t="shared" si="0"/>
        <v>P3-Unkn-03</v>
      </c>
    </row>
    <row r="47" spans="1:5" x14ac:dyDescent="0.35">
      <c r="A47">
        <v>8</v>
      </c>
      <c r="B47">
        <v>46</v>
      </c>
      <c r="C47" t="s">
        <v>156</v>
      </c>
      <c r="D47" t="s">
        <v>163</v>
      </c>
      <c r="E47" t="str">
        <f t="shared" si="0"/>
        <v>P3-Unkn-04</v>
      </c>
    </row>
    <row r="48" spans="1:5" x14ac:dyDescent="0.35">
      <c r="A48">
        <v>14</v>
      </c>
      <c r="B48">
        <v>47</v>
      </c>
      <c r="C48" t="s">
        <v>156</v>
      </c>
      <c r="D48" t="s">
        <v>164</v>
      </c>
      <c r="E48" t="str">
        <f t="shared" si="0"/>
        <v>P3-Unkn-05</v>
      </c>
    </row>
    <row r="49" spans="1:5" x14ac:dyDescent="0.35">
      <c r="A49">
        <v>76</v>
      </c>
      <c r="B49">
        <v>48</v>
      </c>
      <c r="C49" t="s">
        <v>156</v>
      </c>
      <c r="D49" t="s">
        <v>165</v>
      </c>
      <c r="E49" t="str">
        <f t="shared" si="0"/>
        <v>P3-Unkn-06</v>
      </c>
    </row>
    <row r="50" spans="1:5" x14ac:dyDescent="0.35">
      <c r="A50">
        <v>39</v>
      </c>
      <c r="B50">
        <v>49</v>
      </c>
      <c r="C50" t="s">
        <v>156</v>
      </c>
      <c r="D50" t="s">
        <v>166</v>
      </c>
      <c r="E50" t="str">
        <f t="shared" si="0"/>
        <v>P3-Unkn-07</v>
      </c>
    </row>
    <row r="51" spans="1:5" x14ac:dyDescent="0.35">
      <c r="A51">
        <v>61</v>
      </c>
      <c r="B51">
        <v>50</v>
      </c>
      <c r="C51" t="s">
        <v>156</v>
      </c>
      <c r="D51" t="s">
        <v>167</v>
      </c>
      <c r="E51" t="str">
        <f t="shared" si="0"/>
        <v>P3-Unkn-08</v>
      </c>
    </row>
    <row r="52" spans="1:5" x14ac:dyDescent="0.35">
      <c r="A52">
        <v>21</v>
      </c>
      <c r="B52">
        <v>51</v>
      </c>
      <c r="C52" t="s">
        <v>156</v>
      </c>
      <c r="D52" t="s">
        <v>168</v>
      </c>
      <c r="E52" t="str">
        <f t="shared" si="0"/>
        <v>P3-Unkn-09</v>
      </c>
    </row>
    <row r="53" spans="1:5" x14ac:dyDescent="0.35">
      <c r="A53">
        <v>63</v>
      </c>
      <c r="B53">
        <v>52</v>
      </c>
      <c r="C53" t="s">
        <v>156</v>
      </c>
      <c r="D53" t="s">
        <v>141</v>
      </c>
      <c r="E53" t="str">
        <f t="shared" si="0"/>
        <v>P3-Unkn-10</v>
      </c>
    </row>
    <row r="54" spans="1:5" x14ac:dyDescent="0.35">
      <c r="A54">
        <v>82</v>
      </c>
      <c r="B54">
        <v>53</v>
      </c>
      <c r="C54" t="s">
        <v>156</v>
      </c>
      <c r="D54" t="s">
        <v>142</v>
      </c>
      <c r="E54" t="str">
        <f t="shared" si="0"/>
        <v>P3-Unkn-11</v>
      </c>
    </row>
    <row r="55" spans="1:5" x14ac:dyDescent="0.35">
      <c r="A55">
        <v>116</v>
      </c>
      <c r="B55">
        <v>54</v>
      </c>
      <c r="C55" t="s">
        <v>156</v>
      </c>
      <c r="D55" t="s">
        <v>143</v>
      </c>
      <c r="E55" t="str">
        <f t="shared" si="0"/>
        <v>P3-Unkn-12</v>
      </c>
    </row>
    <row r="56" spans="1:5" x14ac:dyDescent="0.35">
      <c r="A56">
        <v>97</v>
      </c>
      <c r="B56">
        <v>55</v>
      </c>
      <c r="C56" t="s">
        <v>156</v>
      </c>
      <c r="D56" t="s">
        <v>144</v>
      </c>
      <c r="E56" t="str">
        <f t="shared" si="0"/>
        <v>P3-Unkn-13</v>
      </c>
    </row>
    <row r="57" spans="1:5" x14ac:dyDescent="0.35">
      <c r="A57">
        <v>112</v>
      </c>
      <c r="B57">
        <v>56</v>
      </c>
      <c r="C57" t="s">
        <v>156</v>
      </c>
      <c r="D57" t="s">
        <v>145</v>
      </c>
      <c r="E57" t="str">
        <f t="shared" si="0"/>
        <v>P3-Unkn-14</v>
      </c>
    </row>
    <row r="58" spans="1:5" x14ac:dyDescent="0.35">
      <c r="A58">
        <v>23</v>
      </c>
      <c r="B58">
        <v>57</v>
      </c>
      <c r="C58" t="s">
        <v>156</v>
      </c>
      <c r="D58" t="s">
        <v>146</v>
      </c>
      <c r="E58" t="str">
        <f t="shared" si="0"/>
        <v>P3-Unkn-15</v>
      </c>
    </row>
    <row r="59" spans="1:5" x14ac:dyDescent="0.35">
      <c r="A59">
        <v>75</v>
      </c>
      <c r="B59">
        <v>58</v>
      </c>
      <c r="C59" t="s">
        <v>156</v>
      </c>
      <c r="D59" t="s">
        <v>147</v>
      </c>
      <c r="E59" t="str">
        <f t="shared" si="0"/>
        <v>P3-Unkn-16</v>
      </c>
    </row>
    <row r="60" spans="1:5" x14ac:dyDescent="0.35">
      <c r="A60">
        <v>87</v>
      </c>
      <c r="B60">
        <v>59</v>
      </c>
      <c r="C60" t="s">
        <v>156</v>
      </c>
      <c r="D60" t="s">
        <v>148</v>
      </c>
      <c r="E60" t="str">
        <f t="shared" si="0"/>
        <v>P3-Unkn-17</v>
      </c>
    </row>
    <row r="61" spans="1:5" x14ac:dyDescent="0.35">
      <c r="A61">
        <v>77</v>
      </c>
      <c r="B61">
        <v>60</v>
      </c>
      <c r="C61" t="s">
        <v>156</v>
      </c>
      <c r="D61" t="s">
        <v>149</v>
      </c>
      <c r="E61" t="str">
        <f t="shared" si="0"/>
        <v>P3-Unkn-18</v>
      </c>
    </row>
    <row r="62" spans="1:5" x14ac:dyDescent="0.35">
      <c r="A62">
        <v>104</v>
      </c>
      <c r="B62">
        <v>61</v>
      </c>
      <c r="C62" t="s">
        <v>156</v>
      </c>
      <c r="D62" t="s">
        <v>150</v>
      </c>
      <c r="E62" t="str">
        <f t="shared" si="0"/>
        <v>P3-Unkn-19</v>
      </c>
    </row>
    <row r="63" spans="1:5" x14ac:dyDescent="0.35">
      <c r="A63">
        <v>49</v>
      </c>
      <c r="B63">
        <v>62</v>
      </c>
      <c r="C63" t="s">
        <v>156</v>
      </c>
      <c r="D63" t="s">
        <v>151</v>
      </c>
      <c r="E63" t="str">
        <f t="shared" si="0"/>
        <v>P3-Unkn-20</v>
      </c>
    </row>
    <row r="64" spans="1:5" x14ac:dyDescent="0.35">
      <c r="A64">
        <v>29</v>
      </c>
      <c r="B64">
        <v>63</v>
      </c>
      <c r="C64" t="s">
        <v>156</v>
      </c>
      <c r="D64" t="s">
        <v>152</v>
      </c>
      <c r="E64" t="str">
        <f t="shared" si="0"/>
        <v>P3-Unkn-21</v>
      </c>
    </row>
    <row r="65" spans="1:5" x14ac:dyDescent="0.35">
      <c r="A65">
        <v>73</v>
      </c>
      <c r="B65">
        <v>64</v>
      </c>
      <c r="C65" t="s">
        <v>157</v>
      </c>
      <c r="D65" t="s">
        <v>160</v>
      </c>
      <c r="E65" t="str">
        <f t="shared" si="0"/>
        <v>P4-Unkn-01</v>
      </c>
    </row>
    <row r="66" spans="1:5" x14ac:dyDescent="0.35">
      <c r="A66">
        <v>98</v>
      </c>
      <c r="B66">
        <v>65</v>
      </c>
      <c r="C66" t="s">
        <v>157</v>
      </c>
      <c r="D66" t="s">
        <v>161</v>
      </c>
      <c r="E66" t="str">
        <f t="shared" si="0"/>
        <v>P4-Unkn-02</v>
      </c>
    </row>
    <row r="67" spans="1:5" x14ac:dyDescent="0.35">
      <c r="A67">
        <v>127</v>
      </c>
      <c r="B67">
        <v>66</v>
      </c>
      <c r="C67" t="s">
        <v>157</v>
      </c>
      <c r="D67" t="s">
        <v>162</v>
      </c>
      <c r="E67" t="str">
        <f t="shared" ref="E67:E118" si="1">CONCATENATE(C67, "-", D67)</f>
        <v>P4-Unkn-03</v>
      </c>
    </row>
    <row r="68" spans="1:5" x14ac:dyDescent="0.35">
      <c r="A68">
        <v>20</v>
      </c>
      <c r="B68">
        <v>67</v>
      </c>
      <c r="C68" t="s">
        <v>157</v>
      </c>
      <c r="D68" t="s">
        <v>163</v>
      </c>
      <c r="E68" t="str">
        <f t="shared" si="1"/>
        <v>P4-Unkn-04</v>
      </c>
    </row>
    <row r="69" spans="1:5" x14ac:dyDescent="0.35">
      <c r="A69">
        <v>102</v>
      </c>
      <c r="B69">
        <v>68</v>
      </c>
      <c r="C69" t="s">
        <v>157</v>
      </c>
      <c r="D69" t="s">
        <v>164</v>
      </c>
      <c r="E69" t="str">
        <f t="shared" si="1"/>
        <v>P4-Unkn-05</v>
      </c>
    </row>
    <row r="70" spans="1:5" x14ac:dyDescent="0.35">
      <c r="A70">
        <v>27</v>
      </c>
      <c r="B70">
        <v>69</v>
      </c>
      <c r="C70" t="s">
        <v>157</v>
      </c>
      <c r="D70" t="s">
        <v>165</v>
      </c>
      <c r="E70" t="str">
        <f t="shared" si="1"/>
        <v>P4-Unkn-06</v>
      </c>
    </row>
    <row r="71" spans="1:5" x14ac:dyDescent="0.35">
      <c r="A71">
        <v>133</v>
      </c>
      <c r="B71">
        <v>70</v>
      </c>
      <c r="C71" t="s">
        <v>157</v>
      </c>
      <c r="D71" t="s">
        <v>166</v>
      </c>
      <c r="E71" t="str">
        <f t="shared" si="1"/>
        <v>P4-Unkn-07</v>
      </c>
    </row>
    <row r="72" spans="1:5" x14ac:dyDescent="0.35">
      <c r="A72">
        <v>86</v>
      </c>
      <c r="B72">
        <v>71</v>
      </c>
      <c r="C72" t="s">
        <v>157</v>
      </c>
      <c r="D72" t="s">
        <v>167</v>
      </c>
      <c r="E72" t="str">
        <f t="shared" si="1"/>
        <v>P4-Unkn-08</v>
      </c>
    </row>
    <row r="73" spans="1:5" x14ac:dyDescent="0.35">
      <c r="A73">
        <v>18</v>
      </c>
      <c r="B73">
        <v>72</v>
      </c>
      <c r="C73" t="s">
        <v>157</v>
      </c>
      <c r="D73" t="s">
        <v>168</v>
      </c>
      <c r="E73" t="str">
        <f t="shared" si="1"/>
        <v>P4-Unkn-09</v>
      </c>
    </row>
    <row r="74" spans="1:5" x14ac:dyDescent="0.35">
      <c r="A74">
        <v>45</v>
      </c>
      <c r="B74">
        <v>73</v>
      </c>
      <c r="C74" t="s">
        <v>157</v>
      </c>
      <c r="D74" t="s">
        <v>141</v>
      </c>
      <c r="E74" t="str">
        <f t="shared" si="1"/>
        <v>P4-Unkn-10</v>
      </c>
    </row>
    <row r="75" spans="1:5" x14ac:dyDescent="0.35">
      <c r="A75">
        <v>88</v>
      </c>
      <c r="B75">
        <v>74</v>
      </c>
      <c r="C75" t="s">
        <v>157</v>
      </c>
      <c r="D75" t="s">
        <v>142</v>
      </c>
      <c r="E75" t="str">
        <f t="shared" si="1"/>
        <v>P4-Unkn-11</v>
      </c>
    </row>
    <row r="76" spans="1:5" x14ac:dyDescent="0.35">
      <c r="A76">
        <v>142</v>
      </c>
      <c r="B76">
        <v>75</v>
      </c>
      <c r="C76" t="s">
        <v>157</v>
      </c>
      <c r="D76" t="s">
        <v>143</v>
      </c>
      <c r="E76" t="str">
        <f t="shared" si="1"/>
        <v>P4-Unkn-12</v>
      </c>
    </row>
    <row r="77" spans="1:5" x14ac:dyDescent="0.35">
      <c r="A77">
        <v>53</v>
      </c>
      <c r="B77">
        <v>76</v>
      </c>
      <c r="C77" t="s">
        <v>157</v>
      </c>
      <c r="D77" t="s">
        <v>144</v>
      </c>
      <c r="E77" t="str">
        <f t="shared" si="1"/>
        <v>P4-Unkn-13</v>
      </c>
    </row>
    <row r="78" spans="1:5" x14ac:dyDescent="0.35">
      <c r="A78">
        <v>103</v>
      </c>
      <c r="B78">
        <v>77</v>
      </c>
      <c r="C78" t="s">
        <v>157</v>
      </c>
      <c r="D78" t="s">
        <v>145</v>
      </c>
      <c r="E78" t="str">
        <f t="shared" si="1"/>
        <v>P4-Unkn-14</v>
      </c>
    </row>
    <row r="79" spans="1:5" x14ac:dyDescent="0.35">
      <c r="A79">
        <v>125</v>
      </c>
      <c r="B79">
        <v>78</v>
      </c>
      <c r="C79" t="s">
        <v>157</v>
      </c>
      <c r="D79" t="s">
        <v>146</v>
      </c>
      <c r="E79" t="str">
        <f t="shared" si="1"/>
        <v>P4-Unkn-15</v>
      </c>
    </row>
    <row r="80" spans="1:5" x14ac:dyDescent="0.35">
      <c r="A80">
        <v>12</v>
      </c>
      <c r="B80">
        <v>79</v>
      </c>
      <c r="C80" t="s">
        <v>157</v>
      </c>
      <c r="D80" t="s">
        <v>147</v>
      </c>
      <c r="E80" t="str">
        <f t="shared" si="1"/>
        <v>P4-Unkn-16</v>
      </c>
    </row>
    <row r="81" spans="1:5" x14ac:dyDescent="0.35">
      <c r="A81">
        <v>95</v>
      </c>
      <c r="B81">
        <v>80</v>
      </c>
      <c r="C81" t="s">
        <v>157</v>
      </c>
      <c r="D81" t="s">
        <v>148</v>
      </c>
      <c r="E81" t="str">
        <f t="shared" si="1"/>
        <v>P4-Unkn-17</v>
      </c>
    </row>
    <row r="82" spans="1:5" x14ac:dyDescent="0.35">
      <c r="A82">
        <v>145</v>
      </c>
      <c r="B82">
        <v>81</v>
      </c>
      <c r="C82" t="s">
        <v>157</v>
      </c>
      <c r="D82" t="s">
        <v>149</v>
      </c>
      <c r="E82" t="str">
        <f t="shared" si="1"/>
        <v>P4-Unkn-18</v>
      </c>
    </row>
    <row r="83" spans="1:5" x14ac:dyDescent="0.35">
      <c r="A83">
        <v>80</v>
      </c>
      <c r="B83">
        <v>82</v>
      </c>
      <c r="C83" t="s">
        <v>157</v>
      </c>
      <c r="D83" t="s">
        <v>150</v>
      </c>
      <c r="E83" t="str">
        <f t="shared" si="1"/>
        <v>P4-Unkn-19</v>
      </c>
    </row>
    <row r="84" spans="1:5" x14ac:dyDescent="0.35">
      <c r="A84">
        <v>109</v>
      </c>
      <c r="B84">
        <v>83</v>
      </c>
      <c r="C84" t="s">
        <v>157</v>
      </c>
      <c r="D84" t="s">
        <v>151</v>
      </c>
      <c r="E84" t="str">
        <f t="shared" si="1"/>
        <v>P4-Unkn-20</v>
      </c>
    </row>
    <row r="85" spans="1:5" x14ac:dyDescent="0.35">
      <c r="A85">
        <v>107</v>
      </c>
      <c r="B85">
        <v>84</v>
      </c>
      <c r="C85" t="s">
        <v>157</v>
      </c>
      <c r="D85" t="s">
        <v>152</v>
      </c>
      <c r="E85" t="str">
        <f t="shared" si="1"/>
        <v>P4-Unkn-21</v>
      </c>
    </row>
    <row r="86" spans="1:5" x14ac:dyDescent="0.35">
      <c r="A86">
        <v>101</v>
      </c>
      <c r="B86">
        <v>85</v>
      </c>
      <c r="C86" t="s">
        <v>158</v>
      </c>
      <c r="D86" t="s">
        <v>160</v>
      </c>
      <c r="E86" t="str">
        <f t="shared" si="1"/>
        <v>P5-Unkn-01</v>
      </c>
    </row>
    <row r="87" spans="1:5" x14ac:dyDescent="0.35">
      <c r="A87">
        <v>2</v>
      </c>
      <c r="B87">
        <v>86</v>
      </c>
      <c r="C87" t="s">
        <v>158</v>
      </c>
      <c r="D87" t="s">
        <v>161</v>
      </c>
      <c r="E87" t="str">
        <f t="shared" si="1"/>
        <v>P5-Unkn-02</v>
      </c>
    </row>
    <row r="88" spans="1:5" x14ac:dyDescent="0.35">
      <c r="A88">
        <v>7</v>
      </c>
      <c r="B88">
        <v>87</v>
      </c>
      <c r="C88" t="s">
        <v>158</v>
      </c>
      <c r="D88" t="s">
        <v>162</v>
      </c>
      <c r="E88" t="str">
        <f t="shared" si="1"/>
        <v>P5-Unkn-03</v>
      </c>
    </row>
    <row r="89" spans="1:5" x14ac:dyDescent="0.35">
      <c r="A89">
        <v>37</v>
      </c>
      <c r="B89">
        <v>88</v>
      </c>
      <c r="C89" t="s">
        <v>158</v>
      </c>
      <c r="D89" t="s">
        <v>163</v>
      </c>
      <c r="E89" t="str">
        <f t="shared" si="1"/>
        <v>P5-Unkn-04</v>
      </c>
    </row>
    <row r="90" spans="1:5" x14ac:dyDescent="0.35">
      <c r="A90">
        <v>51</v>
      </c>
      <c r="B90">
        <v>89</v>
      </c>
      <c r="C90" t="s">
        <v>158</v>
      </c>
      <c r="D90" t="s">
        <v>164</v>
      </c>
      <c r="E90" t="str">
        <f t="shared" si="1"/>
        <v>P5-Unkn-05</v>
      </c>
    </row>
    <row r="91" spans="1:5" x14ac:dyDescent="0.35">
      <c r="A91">
        <v>111</v>
      </c>
      <c r="B91">
        <v>90</v>
      </c>
      <c r="C91" t="s">
        <v>158</v>
      </c>
      <c r="D91" t="s">
        <v>165</v>
      </c>
      <c r="E91" t="str">
        <f t="shared" si="1"/>
        <v>P5-Unkn-06</v>
      </c>
    </row>
    <row r="92" spans="1:5" x14ac:dyDescent="0.35">
      <c r="A92">
        <v>44</v>
      </c>
      <c r="B92">
        <v>91</v>
      </c>
      <c r="C92" t="s">
        <v>158</v>
      </c>
      <c r="D92" t="s">
        <v>166</v>
      </c>
      <c r="E92" t="str">
        <f t="shared" si="1"/>
        <v>P5-Unkn-07</v>
      </c>
    </row>
    <row r="93" spans="1:5" x14ac:dyDescent="0.35">
      <c r="A93">
        <v>74</v>
      </c>
      <c r="B93">
        <v>92</v>
      </c>
      <c r="C93" t="s">
        <v>158</v>
      </c>
      <c r="D93" t="s">
        <v>167</v>
      </c>
      <c r="E93" t="str">
        <f t="shared" si="1"/>
        <v>P5-Unkn-08</v>
      </c>
    </row>
    <row r="94" spans="1:5" x14ac:dyDescent="0.35">
      <c r="A94">
        <v>56</v>
      </c>
      <c r="B94">
        <v>93</v>
      </c>
      <c r="C94" t="s">
        <v>158</v>
      </c>
      <c r="D94" t="s">
        <v>168</v>
      </c>
      <c r="E94" t="str">
        <f t="shared" si="1"/>
        <v>P5-Unkn-09</v>
      </c>
    </row>
    <row r="95" spans="1:5" x14ac:dyDescent="0.35">
      <c r="A95">
        <v>110</v>
      </c>
      <c r="B95">
        <v>94</v>
      </c>
      <c r="C95" t="s">
        <v>158</v>
      </c>
      <c r="D95" t="s">
        <v>141</v>
      </c>
      <c r="E95" t="str">
        <f t="shared" si="1"/>
        <v>P5-Unkn-10</v>
      </c>
    </row>
    <row r="96" spans="1:5" x14ac:dyDescent="0.35">
      <c r="A96">
        <v>72</v>
      </c>
      <c r="B96">
        <v>95</v>
      </c>
      <c r="C96" t="s">
        <v>158</v>
      </c>
      <c r="D96" t="s">
        <v>142</v>
      </c>
      <c r="E96" t="str">
        <f t="shared" si="1"/>
        <v>P5-Unkn-11</v>
      </c>
    </row>
    <row r="97" spans="1:5" x14ac:dyDescent="0.35">
      <c r="A97">
        <v>94</v>
      </c>
      <c r="B97">
        <v>96</v>
      </c>
      <c r="C97" t="s">
        <v>158</v>
      </c>
      <c r="D97" t="s">
        <v>143</v>
      </c>
      <c r="E97" t="str">
        <f t="shared" si="1"/>
        <v>P5-Unkn-12</v>
      </c>
    </row>
    <row r="98" spans="1:5" x14ac:dyDescent="0.35">
      <c r="A98">
        <v>122</v>
      </c>
      <c r="B98">
        <v>97</v>
      </c>
      <c r="C98" t="s">
        <v>158</v>
      </c>
      <c r="D98" t="s">
        <v>144</v>
      </c>
      <c r="E98" t="str">
        <f t="shared" si="1"/>
        <v>P5-Unkn-13</v>
      </c>
    </row>
    <row r="99" spans="1:5" x14ac:dyDescent="0.35">
      <c r="A99">
        <v>115</v>
      </c>
      <c r="B99">
        <v>98</v>
      </c>
      <c r="C99" t="s">
        <v>158</v>
      </c>
      <c r="D99" t="s">
        <v>145</v>
      </c>
      <c r="E99" t="str">
        <f t="shared" si="1"/>
        <v>P5-Unkn-14</v>
      </c>
    </row>
    <row r="100" spans="1:5" x14ac:dyDescent="0.35">
      <c r="A100">
        <v>78</v>
      </c>
      <c r="B100">
        <v>99</v>
      </c>
      <c r="C100" t="s">
        <v>158</v>
      </c>
      <c r="D100" t="s">
        <v>146</v>
      </c>
      <c r="E100" t="str">
        <f t="shared" si="1"/>
        <v>P5-Unkn-15</v>
      </c>
    </row>
    <row r="101" spans="1:5" x14ac:dyDescent="0.35">
      <c r="A101">
        <v>136</v>
      </c>
      <c r="B101">
        <v>100</v>
      </c>
      <c r="C101" t="s">
        <v>158</v>
      </c>
      <c r="D101" t="s">
        <v>147</v>
      </c>
      <c r="E101" t="str">
        <f t="shared" si="1"/>
        <v>P5-Unkn-16</v>
      </c>
    </row>
    <row r="102" spans="1:5" x14ac:dyDescent="0.35">
      <c r="A102">
        <v>100</v>
      </c>
      <c r="B102">
        <v>101</v>
      </c>
      <c r="C102" t="s">
        <v>158</v>
      </c>
      <c r="D102" t="s">
        <v>148</v>
      </c>
      <c r="E102" t="str">
        <f t="shared" si="1"/>
        <v>P5-Unkn-17</v>
      </c>
    </row>
    <row r="103" spans="1:5" x14ac:dyDescent="0.35">
      <c r="A103">
        <v>144</v>
      </c>
      <c r="B103">
        <v>102</v>
      </c>
      <c r="C103" t="s">
        <v>158</v>
      </c>
      <c r="D103" t="s">
        <v>149</v>
      </c>
      <c r="E103" t="str">
        <f t="shared" si="1"/>
        <v>P5-Unkn-18</v>
      </c>
    </row>
    <row r="104" spans="1:5" x14ac:dyDescent="0.35">
      <c r="A104">
        <v>92</v>
      </c>
      <c r="B104">
        <v>103</v>
      </c>
      <c r="C104" t="s">
        <v>158</v>
      </c>
      <c r="D104" t="s">
        <v>150</v>
      </c>
      <c r="E104" t="str">
        <f t="shared" si="1"/>
        <v>P5-Unkn-19</v>
      </c>
    </row>
    <row r="105" spans="1:5" x14ac:dyDescent="0.35">
      <c r="A105">
        <v>65</v>
      </c>
      <c r="B105">
        <v>104</v>
      </c>
      <c r="C105" t="s">
        <v>158</v>
      </c>
      <c r="D105" t="s">
        <v>151</v>
      </c>
      <c r="E105" t="str">
        <f t="shared" si="1"/>
        <v>P5-Unkn-20</v>
      </c>
    </row>
    <row r="106" spans="1:5" x14ac:dyDescent="0.35">
      <c r="A106">
        <v>6</v>
      </c>
      <c r="B106">
        <v>105</v>
      </c>
      <c r="C106" t="s">
        <v>158</v>
      </c>
      <c r="D106" t="s">
        <v>152</v>
      </c>
      <c r="E106" t="str">
        <f t="shared" si="1"/>
        <v>P5-Unkn-21</v>
      </c>
    </row>
    <row r="107" spans="1:5" x14ac:dyDescent="0.35">
      <c r="A107">
        <v>36</v>
      </c>
      <c r="B107">
        <v>106</v>
      </c>
      <c r="C107" t="s">
        <v>159</v>
      </c>
      <c r="D107" t="s">
        <v>160</v>
      </c>
      <c r="E107" t="str">
        <f t="shared" si="1"/>
        <v>P6-Unkn-01</v>
      </c>
    </row>
    <row r="108" spans="1:5" x14ac:dyDescent="0.35">
      <c r="A108">
        <v>11</v>
      </c>
      <c r="B108">
        <v>107</v>
      </c>
      <c r="C108" t="s">
        <v>159</v>
      </c>
      <c r="D108" t="s">
        <v>161</v>
      </c>
      <c r="E108" t="str">
        <f t="shared" si="1"/>
        <v>P6-Unkn-02</v>
      </c>
    </row>
    <row r="109" spans="1:5" x14ac:dyDescent="0.35">
      <c r="A109">
        <v>130</v>
      </c>
      <c r="B109">
        <v>108</v>
      </c>
      <c r="C109" t="s">
        <v>159</v>
      </c>
      <c r="D109" t="s">
        <v>162</v>
      </c>
      <c r="E109" t="str">
        <f t="shared" si="1"/>
        <v>P6-Unkn-03</v>
      </c>
    </row>
    <row r="110" spans="1:5" x14ac:dyDescent="0.35">
      <c r="A110">
        <v>64</v>
      </c>
      <c r="B110">
        <v>109</v>
      </c>
      <c r="C110" t="s">
        <v>159</v>
      </c>
      <c r="D110" t="s">
        <v>163</v>
      </c>
      <c r="E110" t="str">
        <f t="shared" si="1"/>
        <v>P6-Unkn-04</v>
      </c>
    </row>
    <row r="111" spans="1:5" x14ac:dyDescent="0.35">
      <c r="A111">
        <v>10</v>
      </c>
      <c r="B111">
        <v>110</v>
      </c>
      <c r="C111" t="s">
        <v>159</v>
      </c>
      <c r="D111" t="s">
        <v>164</v>
      </c>
      <c r="E111" t="str">
        <f t="shared" si="1"/>
        <v>P6-Unkn-05</v>
      </c>
    </row>
    <row r="112" spans="1:5" x14ac:dyDescent="0.35">
      <c r="A112">
        <v>15</v>
      </c>
      <c r="B112">
        <v>111</v>
      </c>
      <c r="C112" t="s">
        <v>159</v>
      </c>
      <c r="D112" t="s">
        <v>165</v>
      </c>
      <c r="E112" t="str">
        <f t="shared" si="1"/>
        <v>P6-Unkn-06</v>
      </c>
    </row>
    <row r="113" spans="1:5" x14ac:dyDescent="0.35">
      <c r="A113">
        <v>121</v>
      </c>
      <c r="B113">
        <v>112</v>
      </c>
      <c r="C113" t="s">
        <v>159</v>
      </c>
      <c r="D113" t="s">
        <v>166</v>
      </c>
      <c r="E113" t="str">
        <f t="shared" si="1"/>
        <v>P6-Unkn-07</v>
      </c>
    </row>
    <row r="114" spans="1:5" x14ac:dyDescent="0.35">
      <c r="A114">
        <v>38</v>
      </c>
      <c r="B114">
        <v>113</v>
      </c>
      <c r="C114" t="s">
        <v>159</v>
      </c>
      <c r="D114" t="s">
        <v>167</v>
      </c>
      <c r="E114" t="str">
        <f t="shared" si="1"/>
        <v>P6-Unkn-08</v>
      </c>
    </row>
    <row r="115" spans="1:5" x14ac:dyDescent="0.35">
      <c r="A115">
        <v>85</v>
      </c>
      <c r="B115">
        <v>114</v>
      </c>
      <c r="C115" t="s">
        <v>159</v>
      </c>
      <c r="D115" t="s">
        <v>168</v>
      </c>
      <c r="E115" t="str">
        <f t="shared" si="1"/>
        <v>P6-Unkn-09</v>
      </c>
    </row>
    <row r="116" spans="1:5" x14ac:dyDescent="0.35">
      <c r="A116">
        <v>67</v>
      </c>
      <c r="B116">
        <v>115</v>
      </c>
      <c r="C116" t="s">
        <v>159</v>
      </c>
      <c r="D116" t="s">
        <v>141</v>
      </c>
      <c r="E116" t="str">
        <f t="shared" si="1"/>
        <v>P6-Unkn-10</v>
      </c>
    </row>
    <row r="117" spans="1:5" x14ac:dyDescent="0.35">
      <c r="A117">
        <v>25</v>
      </c>
      <c r="B117">
        <v>116</v>
      </c>
      <c r="C117" t="s">
        <v>159</v>
      </c>
      <c r="D117" t="s">
        <v>142</v>
      </c>
      <c r="E117" t="str">
        <f t="shared" si="1"/>
        <v>P6-Unkn-11</v>
      </c>
    </row>
    <row r="118" spans="1:5" x14ac:dyDescent="0.35">
      <c r="A118">
        <v>19</v>
      </c>
      <c r="B118">
        <v>117</v>
      </c>
      <c r="C118" t="s">
        <v>159</v>
      </c>
      <c r="D118" t="s">
        <v>143</v>
      </c>
      <c r="E118" t="str">
        <f t="shared" si="1"/>
        <v>P6-Unkn-12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Dissect</vt:lpstr>
      <vt:lpstr>DNA RNA Conc.</vt:lpstr>
      <vt:lpstr>Sample size table</vt:lpstr>
      <vt:lpstr>Samples for Sequencing</vt:lpstr>
      <vt:lpstr>Telo_ID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Author 1</dc:creator>
  <dc:description/>
  <cp:lastModifiedBy>Ethan Shealy</cp:lastModifiedBy>
  <cp:revision>8</cp:revision>
  <dcterms:created xsi:type="dcterms:W3CDTF">2022-03-29T15:44:40Z</dcterms:created>
  <dcterms:modified xsi:type="dcterms:W3CDTF">2025-07-14T15:02:12Z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0x010100659D6EAB73BF4E48B2CFFED4DAE64747</vt:lpwstr>
  </property>
</Properties>
</file>